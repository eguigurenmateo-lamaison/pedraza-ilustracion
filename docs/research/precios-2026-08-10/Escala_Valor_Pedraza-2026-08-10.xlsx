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frobi\Downloads\"/>
    </mc:Choice>
  </mc:AlternateContent>
  <xr:revisionPtr revIDLastSave="0" documentId="13_ncr:1_{31391887-E99B-4252-8D72-6BE3D72F44C0}" xr6:coauthVersionLast="47" xr6:coauthVersionMax="47" xr10:uidLastSave="{00000000-0000-0000-0000-000000000000}"/>
  <bookViews>
    <workbookView xWindow="-108" yWindow="-108" windowWidth="23256" windowHeight="12456" xr2:uid="{5BC34EDF-BD74-4397-BDE2-57C1E6D185EE}"/>
  </bookViews>
  <sheets>
    <sheet name="Shopify" sheetId="3" r:id="rId1"/>
    <sheet name="Mercadolibre" sheetId="2" state="hidden" r:id="rId2"/>
  </sheets>
  <calcPr calcId="191029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P7" i="3" l="1"/>
  <c r="P5" i="3"/>
  <c r="P6" i="3" s="1"/>
  <c r="O7" i="3"/>
  <c r="O5" i="3"/>
  <c r="O6" i="3" s="1"/>
  <c r="G7" i="3"/>
  <c r="G5" i="3"/>
  <c r="G6" i="3" s="1"/>
  <c r="E7" i="3"/>
  <c r="E5" i="3"/>
  <c r="E6" i="3" s="1"/>
  <c r="D5" i="3"/>
  <c r="F5" i="3"/>
  <c r="F6" i="3" s="1"/>
  <c r="H5" i="3"/>
  <c r="H6" i="3" s="1"/>
  <c r="I5" i="3"/>
  <c r="I6" i="3" s="1"/>
  <c r="J5" i="3"/>
  <c r="J6" i="3" s="1"/>
  <c r="K5" i="3"/>
  <c r="K6" i="3" s="1"/>
  <c r="L5" i="3"/>
  <c r="L6" i="3" s="1"/>
  <c r="M5" i="3"/>
  <c r="M6" i="3" s="1"/>
  <c r="N5" i="3"/>
  <c r="N6" i="3" s="1"/>
  <c r="N7" i="3"/>
  <c r="M19" i="3"/>
  <c r="M7" i="3" s="1"/>
  <c r="J7" i="3"/>
  <c r="I7" i="3"/>
  <c r="F7" i="3"/>
  <c r="D7" i="3"/>
  <c r="L15" i="3"/>
  <c r="K15" i="3"/>
  <c r="L7" i="3"/>
  <c r="K7" i="3"/>
  <c r="H7" i="3"/>
  <c r="I4" i="2"/>
  <c r="H4" i="2"/>
  <c r="G4" i="2"/>
  <c r="G7" i="2" s="1"/>
  <c r="F4" i="2"/>
  <c r="F7" i="2" s="1"/>
  <c r="E4" i="2"/>
  <c r="E7" i="2" s="1"/>
  <c r="D4" i="2"/>
  <c r="D7" i="2" s="1"/>
  <c r="L6" i="2"/>
  <c r="L4" i="2" s="1"/>
  <c r="K6" i="2"/>
  <c r="K4" i="2" s="1"/>
  <c r="K7" i="2" s="1"/>
  <c r="J6" i="2"/>
  <c r="J4" i="2" s="1"/>
  <c r="J7" i="2" s="1"/>
  <c r="I6" i="2"/>
  <c r="H6" i="2"/>
  <c r="G6" i="2"/>
  <c r="F6" i="2"/>
  <c r="E6" i="2"/>
  <c r="D6" i="2"/>
  <c r="L20" i="2"/>
  <c r="K20" i="2"/>
  <c r="K8" i="2" s="1"/>
  <c r="H20" i="2"/>
  <c r="G20" i="2"/>
  <c r="F8" i="2"/>
  <c r="E20" i="2"/>
  <c r="E8" i="2" s="1"/>
  <c r="D20" i="2"/>
  <c r="D8" i="2" s="1"/>
  <c r="J16" i="2"/>
  <c r="I16" i="2"/>
  <c r="I8" i="2"/>
  <c r="P9" i="3" l="1"/>
  <c r="P8" i="3"/>
  <c r="O9" i="3"/>
  <c r="O8" i="3"/>
  <c r="G9" i="3"/>
  <c r="G8" i="3"/>
  <c r="E9" i="3"/>
  <c r="E8" i="3"/>
  <c r="H9" i="3"/>
  <c r="K9" i="3"/>
  <c r="L8" i="3"/>
  <c r="K8" i="3"/>
  <c r="M8" i="3"/>
  <c r="M9" i="3"/>
  <c r="N8" i="3"/>
  <c r="N9" i="3"/>
  <c r="F8" i="3"/>
  <c r="F9" i="3"/>
  <c r="D9" i="2"/>
  <c r="E9" i="2"/>
  <c r="I7" i="2"/>
  <c r="I9" i="2" s="1"/>
  <c r="G8" i="2"/>
  <c r="G10" i="2" s="1"/>
  <c r="F9" i="2"/>
  <c r="G9" i="2"/>
  <c r="K9" i="2"/>
  <c r="H8" i="2"/>
  <c r="H7" i="2"/>
  <c r="H9" i="2" s="1"/>
  <c r="L8" i="2"/>
  <c r="F10" i="2"/>
  <c r="K10" i="2"/>
  <c r="D10" i="2"/>
  <c r="J8" i="2"/>
  <c r="J9" i="2" s="1"/>
  <c r="J10" i="2"/>
  <c r="E10" i="2"/>
  <c r="L7" i="2"/>
  <c r="I8" i="3" l="1"/>
  <c r="I9" i="3"/>
  <c r="J9" i="3"/>
  <c r="J8" i="3"/>
  <c r="L9" i="3"/>
  <c r="H8" i="3"/>
  <c r="L9" i="2"/>
  <c r="I10" i="2"/>
  <c r="H10" i="2"/>
  <c r="L10" i="2"/>
  <c r="D6" i="3" l="1"/>
  <c r="D9" i="3" s="1"/>
  <c r="D8" i="3" l="1"/>
</calcChain>
</file>

<file path=xl/sharedStrings.xml><?xml version="1.0" encoding="utf-8"?>
<sst xmlns="http://schemas.openxmlformats.org/spreadsheetml/2006/main" count="78" uniqueCount="37">
  <si>
    <t>LAMINAS A2</t>
  </si>
  <si>
    <t>LAMINAS A3</t>
  </si>
  <si>
    <t>PUZLE</t>
  </si>
  <si>
    <t>LIBRETAS</t>
  </si>
  <si>
    <t>CALCETINES</t>
  </si>
  <si>
    <t>LLAVERO</t>
  </si>
  <si>
    <t>PINS</t>
  </si>
  <si>
    <t>TOTEBAG</t>
  </si>
  <si>
    <t>POSTALES</t>
  </si>
  <si>
    <t>BOTELLAS</t>
  </si>
  <si>
    <t xml:space="preserve">PVP + IVA </t>
  </si>
  <si>
    <t>PVP Neto</t>
  </si>
  <si>
    <t>DESCUENTO</t>
  </si>
  <si>
    <t>PRECIO NETO</t>
  </si>
  <si>
    <t>Costo</t>
  </si>
  <si>
    <t>Margen Neto</t>
  </si>
  <si>
    <t>Margen Neto %</t>
  </si>
  <si>
    <t>ORIGEN</t>
  </si>
  <si>
    <t>CL</t>
  </si>
  <si>
    <t>CH</t>
  </si>
  <si>
    <t>COSTOS</t>
  </si>
  <si>
    <t>Costo CIF</t>
  </si>
  <si>
    <t>Provision</t>
  </si>
  <si>
    <t>Flete</t>
  </si>
  <si>
    <t>Seguro carga</t>
  </si>
  <si>
    <t>AFS Cargo</t>
  </si>
  <si>
    <t>Desconsolidacion</t>
  </si>
  <si>
    <t>COSTO TOTAL</t>
  </si>
  <si>
    <t>Tipo de Cambio</t>
  </si>
  <si>
    <t>PVP</t>
  </si>
  <si>
    <t>NAIPES</t>
  </si>
  <si>
    <t>PVP + IVA (Base)</t>
  </si>
  <si>
    <t>PVP + IVA (Publicado)</t>
  </si>
  <si>
    <t>Precio Neto</t>
  </si>
  <si>
    <t>BANDANAS</t>
  </si>
  <si>
    <t>PUZLE 1000</t>
  </si>
  <si>
    <t>PUZLE 60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</si>
</sst>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2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-[$$-340A]\ * #,##0_-;\-[$$-340A]\ * #,##0_-;_-[$$-340A]\ * &quot;-&quot;??_-;_-@"/>
    <numFmt numFmtId="165" formatCode="&quot;$&quot;\ #,##0"/>
    <numFmt numFmtId="166" formatCode="_(* #,##0_);_(* \(#,##0\);_(* &quot;-&quot;??_);_(@_)"/>
    <numFmt numFmtId="167" formatCode="0.0%"/>
    <numFmt numFmtId="168" formatCode="_ * #,##0_ ;_ * \-#,##0_ ;_ * &quot;-&quot;_ ;_ @_ "/>
    <numFmt numFmtId="169" formatCode="_ &quot;$&quot;* #,##0_ ;_ &quot;$&quot;* \-#,##0_ ;_ &quot;$&quot;* &quot;-&quot;_ ;_ @_ "/>
    <numFmt numFmtId="170" formatCode="_(* #,##0.00_);_(* \(#,##0.00\);_(* &quot;-&quot;_);_(@_)"/>
    <numFmt numFmtId="171" formatCode="_(&quot;$&quot;* #,##0_);_(&quot;$&quot;* \(#,##0\);_(&quot;$&quot;* &quot;-&quot;??_);_(@_)"/>
    <numFmt numFmtId="172" formatCode="_-* #,##0.00_-;\-* #,##0.00_-;_-* &quot;-&quot;??_-;_-@"/>
    <numFmt numFmtId="173" formatCode="_-* #,##0_-;\-* #,##0_-;_-* &quot;-&quot;??_-;_-@"/>
  </numFmts>
  <fonts count="6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Calibri"/>
      <family val="2"/>
    </font>
    <font>
      <b/>
      <sz val="10"/>
      <name val="Calibri"/>
      <family val="2"/>
    </font>
    <font>
      <b/>
      <sz val="10"/>
      <color theme="1"/>
      <name val="Calibri"/>
      <family val="2"/>
    </font>
    <font>
      <b/>
      <sz val="10"/>
      <color rgb="FF00B050"/>
      <name val="Calibri"/>
      <family val="2"/>
    </font>
  </fonts>
  <fills count="1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/>
        <bgColor rgb="FF0E2841"/>
      </patternFill>
    </fill>
    <fill>
      <patternFill patternType="solid">
        <fgColor theme="0"/>
        <bgColor rgb="FFFFFF00"/>
      </patternFill>
    </fill>
    <fill>
      <patternFill patternType="solid">
        <fgColor rgb="FFFFFF00"/>
        <bgColor rgb="FFFFFF00"/>
      </patternFill>
    </fill>
    <fill>
      <patternFill patternType="solid">
        <fgColor theme="0"/>
        <bgColor theme="0"/>
      </patternFill>
    </fill>
    <fill>
      <patternFill patternType="solid">
        <fgColor theme="0"/>
        <bgColor rgb="FFD0D0D0"/>
      </patternFill>
    </fill>
    <fill>
      <patternFill patternType="solid">
        <fgColor theme="0"/>
        <bgColor rgb="FFD8D8D8"/>
      </patternFill>
    </fill>
    <fill>
      <patternFill patternType="solid">
        <fgColor rgb="FFFFFF00"/>
        <bgColor rgb="FFD8D8D8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7" tint="0.79998168889431442"/>
        <bgColor rgb="FFD8D8D8"/>
      </patternFill>
    </fill>
    <fill>
      <patternFill patternType="solid">
        <fgColor rgb="FFFFFF00"/>
        <bgColor theme="0"/>
      </patternFill>
    </fill>
    <fill>
      <patternFill patternType="solid">
        <fgColor theme="9" tint="0.79998168889431442"/>
        <bgColor rgb="FF0E2841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61">
    <xf numFmtId="0" fontId="0" fillId="0" borderId="0" xfId="0"/>
    <xf numFmtId="0" fontId="2" fillId="2" borderId="1" xfId="0" applyFont="1" applyFill="1" applyBorder="1"/>
    <xf numFmtId="0" fontId="3" fillId="3" borderId="1" xfId="0" applyFont="1" applyFill="1" applyBorder="1" applyAlignment="1">
      <alignment horizontal="center" vertical="center"/>
    </xf>
    <xf numFmtId="0" fontId="2" fillId="0" borderId="0" xfId="0" applyFont="1"/>
    <xf numFmtId="164" fontId="4" fillId="4" borderId="2" xfId="0" applyNumberFormat="1" applyFont="1" applyFill="1" applyBorder="1"/>
    <xf numFmtId="165" fontId="2" fillId="4" borderId="3" xfId="0" applyNumberFormat="1" applyFont="1" applyFill="1" applyBorder="1"/>
    <xf numFmtId="166" fontId="4" fillId="5" borderId="3" xfId="1" applyNumberFormat="1" applyFont="1" applyFill="1" applyBorder="1"/>
    <xf numFmtId="164" fontId="4" fillId="6" borderId="2" xfId="0" applyNumberFormat="1" applyFont="1" applyFill="1" applyBorder="1"/>
    <xf numFmtId="165" fontId="2" fillId="6" borderId="2" xfId="0" applyNumberFormat="1" applyFont="1" applyFill="1" applyBorder="1"/>
    <xf numFmtId="166" fontId="2" fillId="6" borderId="5" xfId="1" applyNumberFormat="1" applyFont="1" applyFill="1" applyBorder="1"/>
    <xf numFmtId="166" fontId="2" fillId="6" borderId="2" xfId="1" applyNumberFormat="1" applyFont="1" applyFill="1" applyBorder="1"/>
    <xf numFmtId="167" fontId="4" fillId="4" borderId="2" xfId="0" applyNumberFormat="1" applyFont="1" applyFill="1" applyBorder="1"/>
    <xf numFmtId="10" fontId="5" fillId="4" borderId="5" xfId="0" applyNumberFormat="1" applyFont="1" applyFill="1" applyBorder="1"/>
    <xf numFmtId="10" fontId="5" fillId="4" borderId="2" xfId="0" applyNumberFormat="1" applyFont="1" applyFill="1" applyBorder="1"/>
    <xf numFmtId="165" fontId="4" fillId="7" borderId="2" xfId="0" applyNumberFormat="1" applyFont="1" applyFill="1" applyBorder="1"/>
    <xf numFmtId="166" fontId="4" fillId="7" borderId="5" xfId="1" applyNumberFormat="1" applyFont="1" applyFill="1" applyBorder="1"/>
    <xf numFmtId="166" fontId="4" fillId="7" borderId="2" xfId="1" applyNumberFormat="1" applyFont="1" applyFill="1" applyBorder="1"/>
    <xf numFmtId="9" fontId="4" fillId="6" borderId="3" xfId="0" applyNumberFormat="1" applyFont="1" applyFill="1" applyBorder="1"/>
    <xf numFmtId="166" fontId="4" fillId="6" borderId="3" xfId="1" applyNumberFormat="1" applyFont="1" applyFill="1" applyBorder="1"/>
    <xf numFmtId="164" fontId="4" fillId="8" borderId="2" xfId="0" applyNumberFormat="1" applyFont="1" applyFill="1" applyBorder="1"/>
    <xf numFmtId="166" fontId="4" fillId="8" borderId="2" xfId="1" applyNumberFormat="1" applyFont="1" applyFill="1" applyBorder="1"/>
    <xf numFmtId="164" fontId="4" fillId="8" borderId="7" xfId="0" applyNumberFormat="1" applyFont="1" applyFill="1" applyBorder="1"/>
    <xf numFmtId="9" fontId="4" fillId="9" borderId="7" xfId="3" applyFont="1" applyFill="1" applyBorder="1"/>
    <xf numFmtId="0" fontId="4" fillId="2" borderId="8" xfId="0" applyFont="1" applyFill="1" applyBorder="1" applyAlignment="1">
      <alignment horizontal="center"/>
    </xf>
    <xf numFmtId="0" fontId="4" fillId="2" borderId="6" xfId="0" applyFont="1" applyFill="1" applyBorder="1" applyAlignment="1">
      <alignment horizontal="center"/>
    </xf>
    <xf numFmtId="0" fontId="4" fillId="2" borderId="1" xfId="0" applyFont="1" applyFill="1" applyBorder="1" applyAlignment="1">
      <alignment horizontal="center"/>
    </xf>
    <xf numFmtId="0" fontId="2" fillId="2" borderId="0" xfId="0" applyFont="1" applyFill="1"/>
    <xf numFmtId="0" fontId="4" fillId="10" borderId="8" xfId="0" applyFont="1" applyFill="1" applyBorder="1" applyAlignment="1">
      <alignment horizontal="center"/>
    </xf>
    <xf numFmtId="0" fontId="4" fillId="10" borderId="6" xfId="0" applyFont="1" applyFill="1" applyBorder="1" applyAlignment="1">
      <alignment horizontal="center"/>
    </xf>
    <xf numFmtId="0" fontId="4" fillId="8" borderId="3" xfId="0" applyFont="1" applyFill="1" applyBorder="1" applyAlignment="1">
      <alignment vertical="center"/>
    </xf>
    <xf numFmtId="168" fontId="4" fillId="6" borderId="4" xfId="0" applyNumberFormat="1" applyFont="1" applyFill="1" applyBorder="1" applyAlignment="1">
      <alignment horizontal="right" vertical="center"/>
    </xf>
    <xf numFmtId="169" fontId="2" fillId="6" borderId="3" xfId="0" applyNumberFormat="1" applyFont="1" applyFill="1" applyBorder="1"/>
    <xf numFmtId="0" fontId="4" fillId="8" borderId="2" xfId="0" applyFont="1" applyFill="1" applyBorder="1" applyAlignment="1">
      <alignment vertical="center"/>
    </xf>
    <xf numFmtId="168" fontId="2" fillId="6" borderId="5" xfId="0" applyNumberFormat="1" applyFont="1" applyFill="1" applyBorder="1" applyAlignment="1">
      <alignment vertical="center"/>
    </xf>
    <xf numFmtId="169" fontId="2" fillId="6" borderId="2" xfId="0" applyNumberFormat="1" applyFont="1" applyFill="1" applyBorder="1"/>
    <xf numFmtId="168" fontId="4" fillId="8" borderId="5" xfId="0" applyNumberFormat="1" applyFont="1" applyFill="1" applyBorder="1" applyAlignment="1">
      <alignment vertical="center"/>
    </xf>
    <xf numFmtId="169" fontId="2" fillId="8" borderId="2" xfId="0" applyNumberFormat="1" applyFont="1" applyFill="1" applyBorder="1"/>
    <xf numFmtId="0" fontId="4" fillId="8" borderId="7" xfId="0" applyFont="1" applyFill="1" applyBorder="1" applyAlignment="1">
      <alignment vertical="center"/>
    </xf>
    <xf numFmtId="168" fontId="4" fillId="8" borderId="9" xfId="0" applyNumberFormat="1" applyFont="1" applyFill="1" applyBorder="1" applyAlignment="1">
      <alignment vertical="center"/>
    </xf>
    <xf numFmtId="169" fontId="2" fillId="8" borderId="7" xfId="0" applyNumberFormat="1" applyFont="1" applyFill="1" applyBorder="1"/>
    <xf numFmtId="0" fontId="4" fillId="11" borderId="7" xfId="0" applyFont="1" applyFill="1" applyBorder="1" applyAlignment="1">
      <alignment vertical="center"/>
    </xf>
    <xf numFmtId="168" fontId="4" fillId="11" borderId="7" xfId="0" applyNumberFormat="1" applyFont="1" applyFill="1" applyBorder="1" applyAlignment="1">
      <alignment vertical="center"/>
    </xf>
    <xf numFmtId="166" fontId="4" fillId="11" borderId="7" xfId="1" applyNumberFormat="1" applyFont="1" applyFill="1" applyBorder="1" applyAlignment="1">
      <alignment vertical="center"/>
    </xf>
    <xf numFmtId="0" fontId="4" fillId="6" borderId="0" xfId="0" applyFont="1" applyFill="1" applyAlignment="1">
      <alignment vertical="center"/>
    </xf>
    <xf numFmtId="168" fontId="4" fillId="6" borderId="0" xfId="0" applyNumberFormat="1" applyFont="1" applyFill="1"/>
    <xf numFmtId="170" fontId="4" fillId="6" borderId="0" xfId="0" applyNumberFormat="1" applyFont="1" applyFill="1"/>
    <xf numFmtId="0" fontId="2" fillId="6" borderId="0" xfId="0" applyFont="1" applyFill="1"/>
    <xf numFmtId="0" fontId="4" fillId="12" borderId="1" xfId="0" applyFont="1" applyFill="1" applyBorder="1" applyAlignment="1">
      <alignment vertical="center"/>
    </xf>
    <xf numFmtId="171" fontId="4" fillId="12" borderId="7" xfId="2" applyNumberFormat="1" applyFont="1" applyFill="1" applyBorder="1" applyAlignment="1">
      <alignment vertical="center"/>
    </xf>
    <xf numFmtId="0" fontId="2" fillId="6" borderId="0" xfId="0" applyFont="1" applyFill="1" applyAlignment="1">
      <alignment vertical="center"/>
    </xf>
    <xf numFmtId="0" fontId="2" fillId="6" borderId="0" xfId="0" applyFont="1" applyFill="1" applyAlignment="1">
      <alignment horizontal="left" vertical="center"/>
    </xf>
    <xf numFmtId="167" fontId="2" fillId="6" borderId="0" xfId="0" applyNumberFormat="1" applyFont="1" applyFill="1"/>
    <xf numFmtId="1" fontId="2" fillId="6" borderId="0" xfId="0" applyNumberFormat="1" applyFont="1" applyFill="1"/>
    <xf numFmtId="172" fontId="2" fillId="6" borderId="0" xfId="0" applyNumberFormat="1" applyFont="1" applyFill="1"/>
    <xf numFmtId="0" fontId="2" fillId="6" borderId="0" xfId="0" applyFont="1" applyFill="1" applyAlignment="1">
      <alignment horizontal="right"/>
    </xf>
    <xf numFmtId="0" fontId="4" fillId="6" borderId="0" xfId="0" applyFont="1" applyFill="1" applyAlignment="1">
      <alignment horizontal="right" vertical="center"/>
    </xf>
    <xf numFmtId="173" fontId="2" fillId="6" borderId="0" xfId="0" applyNumberFormat="1" applyFont="1" applyFill="1"/>
    <xf numFmtId="9" fontId="2" fillId="6" borderId="0" xfId="0" applyNumberFormat="1" applyFont="1" applyFill="1"/>
    <xf numFmtId="166" fontId="4" fillId="5" borderId="4" xfId="1" applyNumberFormat="1" applyFont="1" applyFill="1" applyBorder="1"/>
    <xf numFmtId="167" fontId="4" fillId="9" borderId="7" xfId="3" applyNumberFormat="1" applyFont="1" applyFill="1" applyBorder="1"/>
    <xf numFmtId="0" fontId="3" fillId="13" borderId="1" xfId="0" applyFont="1" applyFill="1" applyBorder="1" applyAlignment="1">
      <alignment horizontal="center" vertical="center"/>
    </xf>
  </cellXfs>
  <cellStyles count="4">
    <cellStyle name="Comma" xfId="1" builtinId="3"/>
    <cellStyle name="Currency" xfId="2" builtinId="4"/>
    <cellStyle name="Normal" xfId="0" builtinId="0"/>
    <cellStyle name="Percent" xfId="3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3C0561-655F-4E39-B42A-7A9D62980B14}">
  <dimension ref="B2:T58"/>
  <sheetViews>
    <sheetView showGridLines="0" tabSelected="1" zoomScaleNormal="100" workbookViewId="0">
      <selection activeCell="L22" sqref="L22"/>
    </sheetView>
  </sheetViews>
  <sheetFormatPr defaultColWidth="9" defaultRowHeight="13.8" x14ac:dyDescent="0.3"/>
  <cols>
    <col min="1" max="1" width="2.6640625" style="3" customWidth="1"/>
    <col min="2" max="2" width="22.77734375" style="3" bestFit="1" customWidth="1"/>
    <col min="3" max="3" width="13.21875" style="3" customWidth="1"/>
    <col min="4" max="16" width="11.77734375" style="3" customWidth="1"/>
    <col min="17" max="16384" width="9" style="3"/>
  </cols>
  <sheetData>
    <row r="2" spans="2:16" x14ac:dyDescent="0.3">
      <c r="B2" s="1"/>
      <c r="C2" s="2"/>
      <c r="D2" s="60" t="s">
        <v>0</v>
      </c>
      <c r="E2" s="60" t="s">
        <v>1</v>
      </c>
      <c r="F2" s="60" t="s">
        <v>35</v>
      </c>
      <c r="G2" s="60" t="s">
        <v>36</v>
      </c>
      <c r="H2" s="60" t="s">
        <v>3</v>
      </c>
      <c r="I2" s="60" t="s">
        <v>5</v>
      </c>
      <c r="J2" s="60" t="s">
        <v>6</v>
      </c>
      <c r="K2" s="60" t="s">
        <v>7</v>
      </c>
      <c r="L2" s="60" t="s">
        <v>8</v>
      </c>
      <c r="M2" s="60" t="s">
        <v>9</v>
      </c>
      <c r="N2" s="60" t="s">
        <v>30</v>
      </c>
      <c r="O2" s="60" t="s">
        <v>4</v>
      </c>
      <c r="P2" s="60" t="s">
        <v>34</v>
      </c>
    </row>
    <row r="3" spans="2:16" x14ac:dyDescent="0.3">
      <c r="B3" s="4" t="s">
        <v>31</v>
      </c>
      <c r="C3" s="5"/>
      <c r="D3" s="58">
        <v>36990</v>
      </c>
      <c r="E3" s="58">
        <v>23990</v>
      </c>
      <c r="F3" s="6">
        <v>27990</v>
      </c>
      <c r="G3" s="6">
        <v>17990</v>
      </c>
      <c r="H3" s="6">
        <v>18990</v>
      </c>
      <c r="I3" s="6">
        <v>7990</v>
      </c>
      <c r="J3" s="6">
        <v>6500</v>
      </c>
      <c r="K3" s="6">
        <v>14990</v>
      </c>
      <c r="L3" s="6">
        <v>11990</v>
      </c>
      <c r="M3" s="6">
        <v>27990</v>
      </c>
      <c r="N3" s="6">
        <v>22990</v>
      </c>
      <c r="O3" s="6">
        <v>9990</v>
      </c>
      <c r="P3" s="6">
        <v>9990</v>
      </c>
    </row>
    <row r="4" spans="2:16" x14ac:dyDescent="0.3">
      <c r="B4" s="4" t="s">
        <v>12</v>
      </c>
      <c r="C4" s="11"/>
      <c r="D4" s="12">
        <v>0</v>
      </c>
      <c r="E4" s="12">
        <v>0</v>
      </c>
      <c r="F4" s="13">
        <v>0</v>
      </c>
      <c r="G4" s="13">
        <v>0</v>
      </c>
      <c r="H4" s="13">
        <v>0</v>
      </c>
      <c r="I4" s="13">
        <v>0</v>
      </c>
      <c r="J4" s="13">
        <v>0</v>
      </c>
      <c r="K4" s="13">
        <v>0</v>
      </c>
      <c r="L4" s="13">
        <v>0</v>
      </c>
      <c r="M4" s="13">
        <v>0</v>
      </c>
      <c r="N4" s="13">
        <v>0</v>
      </c>
      <c r="O4" s="13">
        <v>0</v>
      </c>
      <c r="P4" s="13">
        <v>0</v>
      </c>
    </row>
    <row r="5" spans="2:16" x14ac:dyDescent="0.3">
      <c r="B5" s="4" t="s">
        <v>32</v>
      </c>
      <c r="C5" s="14"/>
      <c r="D5" s="15">
        <f>D3*(1-D4)</f>
        <v>36990</v>
      </c>
      <c r="E5" s="15">
        <f>E3*(1-E4)</f>
        <v>23990</v>
      </c>
      <c r="F5" s="16">
        <f>F3*(1-F4)</f>
        <v>27990</v>
      </c>
      <c r="G5" s="16">
        <f>G3*(1-G4)</f>
        <v>17990</v>
      </c>
      <c r="H5" s="16">
        <f>H3*(1-H4)</f>
        <v>18990</v>
      </c>
      <c r="I5" s="16">
        <f>I3*(1-I4)</f>
        <v>7990</v>
      </c>
      <c r="J5" s="16">
        <f>J3*(1-J4)</f>
        <v>6500</v>
      </c>
      <c r="K5" s="16">
        <f>K3*(1-K4)</f>
        <v>14990</v>
      </c>
      <c r="L5" s="16">
        <f>L3*(1-L4)</f>
        <v>11990</v>
      </c>
      <c r="M5" s="16">
        <f>M3*(1-M4)</f>
        <v>27990</v>
      </c>
      <c r="N5" s="16">
        <f>N3*(1-N4)</f>
        <v>22990</v>
      </c>
      <c r="O5" s="16">
        <f>O3*(1-O4)</f>
        <v>9990</v>
      </c>
      <c r="P5" s="16">
        <f>P3*(1-P4)</f>
        <v>9990</v>
      </c>
    </row>
    <row r="6" spans="2:16" x14ac:dyDescent="0.3">
      <c r="B6" s="4" t="s">
        <v>33</v>
      </c>
      <c r="C6" s="17"/>
      <c r="D6" s="18">
        <f>D5/1.19</f>
        <v>31084.033613445379</v>
      </c>
      <c r="E6" s="18">
        <f>E5/1.19</f>
        <v>20159.663865546219</v>
      </c>
      <c r="F6" s="18">
        <f>F5/1.19</f>
        <v>23521.008403361346</v>
      </c>
      <c r="G6" s="18">
        <f>G5/1.19</f>
        <v>15117.64705882353</v>
      </c>
      <c r="H6" s="18">
        <f>H5/1.19</f>
        <v>15957.983193277312</v>
      </c>
      <c r="I6" s="18">
        <f>I5/1.19</f>
        <v>6714.2857142857147</v>
      </c>
      <c r="J6" s="18">
        <f>J5/1.19</f>
        <v>5462.1848739495799</v>
      </c>
      <c r="K6" s="18">
        <f>K5/1.19</f>
        <v>12596.638655462186</v>
      </c>
      <c r="L6" s="18">
        <f>L5/1.19</f>
        <v>10075.63025210084</v>
      </c>
      <c r="M6" s="18">
        <f>M5/1.19</f>
        <v>23521.008403361346</v>
      </c>
      <c r="N6" s="18">
        <f>N5/1.19</f>
        <v>19319.327731092439</v>
      </c>
      <c r="O6" s="18">
        <f>O5/1.19</f>
        <v>8394.957983193277</v>
      </c>
      <c r="P6" s="18">
        <f>P5/1.19</f>
        <v>8394.957983193277</v>
      </c>
    </row>
    <row r="7" spans="2:16" x14ac:dyDescent="0.3">
      <c r="B7" s="19" t="s">
        <v>14</v>
      </c>
      <c r="C7" s="19"/>
      <c r="D7" s="20">
        <f t="shared" ref="D7:N7" si="0">D19</f>
        <v>8357</v>
      </c>
      <c r="E7" s="20">
        <f t="shared" ref="E7" si="1">E19</f>
        <v>6261</v>
      </c>
      <c r="F7" s="20">
        <f t="shared" si="0"/>
        <v>7463</v>
      </c>
      <c r="G7" s="20">
        <f t="shared" ref="G7" si="2">G19</f>
        <v>6599</v>
      </c>
      <c r="H7" s="20">
        <f t="shared" si="0"/>
        <v>4200</v>
      </c>
      <c r="I7" s="20">
        <f t="shared" si="0"/>
        <v>1710</v>
      </c>
      <c r="J7" s="20">
        <f t="shared" si="0"/>
        <v>1147</v>
      </c>
      <c r="K7" s="20">
        <f t="shared" si="0"/>
        <v>5080</v>
      </c>
      <c r="L7" s="20">
        <f t="shared" si="0"/>
        <v>1702</v>
      </c>
      <c r="M7" s="20">
        <f t="shared" si="0"/>
        <v>9651.1600000000017</v>
      </c>
      <c r="N7" s="20">
        <f t="shared" si="0"/>
        <v>3770</v>
      </c>
      <c r="O7" s="20">
        <f t="shared" ref="O7:P7" si="3">O19</f>
        <v>1148</v>
      </c>
      <c r="P7" s="20">
        <f t="shared" si="3"/>
        <v>1080</v>
      </c>
    </row>
    <row r="8" spans="2:16" x14ac:dyDescent="0.3">
      <c r="B8" s="19" t="s">
        <v>15</v>
      </c>
      <c r="C8" s="19"/>
      <c r="D8" s="20">
        <f>D6-D7</f>
        <v>22727.033613445379</v>
      </c>
      <c r="E8" s="20">
        <f>E6-E7</f>
        <v>13898.663865546219</v>
      </c>
      <c r="F8" s="20">
        <f t="shared" ref="F8:P8" si="4">F6-F7</f>
        <v>16058.008403361346</v>
      </c>
      <c r="G8" s="20">
        <f t="shared" si="4"/>
        <v>8518.6470588235297</v>
      </c>
      <c r="H8" s="20">
        <f t="shared" si="4"/>
        <v>11757.983193277312</v>
      </c>
      <c r="I8" s="20">
        <f t="shared" si="4"/>
        <v>5004.2857142857147</v>
      </c>
      <c r="J8" s="20">
        <f t="shared" si="4"/>
        <v>4315.1848739495799</v>
      </c>
      <c r="K8" s="20">
        <f t="shared" si="4"/>
        <v>7516.6386554621859</v>
      </c>
      <c r="L8" s="20">
        <f t="shared" si="4"/>
        <v>8373.6302521008402</v>
      </c>
      <c r="M8" s="20">
        <f t="shared" si="4"/>
        <v>13869.848403361344</v>
      </c>
      <c r="N8" s="20">
        <f t="shared" si="4"/>
        <v>15549.327731092439</v>
      </c>
      <c r="O8" s="20">
        <f t="shared" si="4"/>
        <v>7246.957983193277</v>
      </c>
      <c r="P8" s="20">
        <f t="shared" si="4"/>
        <v>7314.957983193277</v>
      </c>
    </row>
    <row r="9" spans="2:16" x14ac:dyDescent="0.3">
      <c r="B9" s="21" t="s">
        <v>16</v>
      </c>
      <c r="C9" s="21"/>
      <c r="D9" s="59">
        <f>(D6-D7)/D6</f>
        <v>0.7311481481481481</v>
      </c>
      <c r="E9" s="59">
        <f>(E6-E7)/E6</f>
        <v>0.68942934556065028</v>
      </c>
      <c r="F9" s="59">
        <f t="shared" ref="F9:N9" si="5">(F6-F7)/F6</f>
        <v>0.68270918185066098</v>
      </c>
      <c r="G9" s="59">
        <f t="shared" ref="G9" si="6">(G6-G7)/G6</f>
        <v>0.56349027237354088</v>
      </c>
      <c r="H9" s="59">
        <f t="shared" si="5"/>
        <v>0.73680884676145342</v>
      </c>
      <c r="I9" s="59">
        <f t="shared" si="5"/>
        <v>0.74531914893617024</v>
      </c>
      <c r="J9" s="59">
        <f t="shared" si="5"/>
        <v>0.79001076923076918</v>
      </c>
      <c r="K9" s="59">
        <f t="shared" si="5"/>
        <v>0.59671781187458306</v>
      </c>
      <c r="L9" s="59">
        <f t="shared" si="5"/>
        <v>0.83107756463719762</v>
      </c>
      <c r="M9" s="59">
        <f t="shared" si="5"/>
        <v>0.58967915684172911</v>
      </c>
      <c r="N9" s="59">
        <f t="shared" si="5"/>
        <v>0.80485863418877779</v>
      </c>
      <c r="O9" s="59">
        <f t="shared" ref="O9:P9" si="7">(O6-O7)/O6</f>
        <v>0.86325125125125124</v>
      </c>
      <c r="P9" s="59">
        <f t="shared" si="7"/>
        <v>0.87135135135135133</v>
      </c>
    </row>
    <row r="11" spans="2:16" s="26" customFormat="1" x14ac:dyDescent="0.3">
      <c r="B11" s="23" t="s">
        <v>17</v>
      </c>
      <c r="C11" s="24"/>
      <c r="D11" s="25" t="s">
        <v>18</v>
      </c>
      <c r="E11" s="25" t="s">
        <v>18</v>
      </c>
      <c r="F11" s="25" t="s">
        <v>19</v>
      </c>
      <c r="G11" s="25" t="s">
        <v>19</v>
      </c>
      <c r="H11" s="25" t="s">
        <v>18</v>
      </c>
      <c r="I11" s="25" t="s">
        <v>19</v>
      </c>
      <c r="J11" s="25" t="s">
        <v>19</v>
      </c>
      <c r="K11" s="25" t="s">
        <v>18</v>
      </c>
      <c r="L11" s="25" t="s">
        <v>19</v>
      </c>
      <c r="M11" s="25" t="s">
        <v>19</v>
      </c>
      <c r="N11" s="25" t="s">
        <v>19</v>
      </c>
      <c r="O11" s="25" t="s">
        <v>19</v>
      </c>
      <c r="P11" s="25" t="s">
        <v>19</v>
      </c>
    </row>
    <row r="12" spans="2:16" x14ac:dyDescent="0.3">
      <c r="B12" s="27" t="s">
        <v>20</v>
      </c>
      <c r="C12" s="28"/>
      <c r="D12" s="28"/>
      <c r="E12" s="28"/>
      <c r="F12" s="28"/>
      <c r="G12" s="28"/>
      <c r="H12" s="28"/>
      <c r="I12" s="28"/>
      <c r="J12" s="28"/>
      <c r="K12" s="28"/>
      <c r="L12" s="28"/>
      <c r="M12" s="28"/>
      <c r="N12" s="28"/>
    </row>
    <row r="13" spans="2:16" x14ac:dyDescent="0.3">
      <c r="B13" s="29" t="s">
        <v>21</v>
      </c>
      <c r="C13" s="30">
        <v>0</v>
      </c>
      <c r="D13" s="31">
        <v>9527.6502941176477</v>
      </c>
      <c r="E13" s="31">
        <v>9527.6502941176477</v>
      </c>
      <c r="F13" s="31">
        <v>4222.1454545454544</v>
      </c>
      <c r="G13" s="31">
        <v>0</v>
      </c>
      <c r="H13" s="31"/>
      <c r="I13" s="31"/>
      <c r="J13" s="31"/>
      <c r="K13" s="31"/>
      <c r="L13" s="31"/>
      <c r="M13" s="31">
        <v>6149.8</v>
      </c>
      <c r="N13" s="31">
        <v>4064.3</v>
      </c>
      <c r="O13" s="31">
        <v>0</v>
      </c>
      <c r="P13" s="31">
        <v>0</v>
      </c>
    </row>
    <row r="14" spans="2:16" x14ac:dyDescent="0.3">
      <c r="B14" s="32" t="s">
        <v>22</v>
      </c>
      <c r="C14" s="33"/>
      <c r="D14" s="34"/>
      <c r="E14" s="34"/>
      <c r="F14" s="34">
        <v>2294.6964610413997</v>
      </c>
      <c r="G14" s="34">
        <v>0</v>
      </c>
      <c r="H14" s="34"/>
      <c r="I14" s="34"/>
      <c r="J14" s="34"/>
      <c r="K14" s="34"/>
      <c r="L14" s="34"/>
      <c r="M14" s="34">
        <v>2753.8061538461538</v>
      </c>
      <c r="N14" s="34">
        <v>389.67287087396028</v>
      </c>
      <c r="O14" s="34">
        <v>0</v>
      </c>
      <c r="P14" s="34">
        <v>0</v>
      </c>
    </row>
    <row r="15" spans="2:16" x14ac:dyDescent="0.3">
      <c r="B15" s="32" t="s">
        <v>23</v>
      </c>
      <c r="C15" s="35"/>
      <c r="D15" s="36"/>
      <c r="E15" s="36"/>
      <c r="F15" s="36">
        <v>332.81487272727276</v>
      </c>
      <c r="G15" s="36">
        <v>0</v>
      </c>
      <c r="H15" s="36"/>
      <c r="I15" s="36"/>
      <c r="J15" s="36"/>
      <c r="K15" s="36">
        <f>SUM(K13:K14)</f>
        <v>0</v>
      </c>
      <c r="L15" s="36">
        <f>SUM(L13:L14)</f>
        <v>0</v>
      </c>
      <c r="M15" s="36">
        <v>153.84615384615384</v>
      </c>
      <c r="N15" s="36">
        <v>56.254851835368768</v>
      </c>
      <c r="O15" s="36">
        <v>0</v>
      </c>
      <c r="P15" s="36">
        <v>0</v>
      </c>
    </row>
    <row r="16" spans="2:16" x14ac:dyDescent="0.3">
      <c r="B16" s="32" t="s">
        <v>24</v>
      </c>
      <c r="C16" s="35"/>
      <c r="D16" s="36"/>
      <c r="E16" s="36"/>
      <c r="F16" s="36">
        <v>49.509818181818183</v>
      </c>
      <c r="G16" s="36">
        <v>0</v>
      </c>
      <c r="H16" s="36"/>
      <c r="I16" s="36"/>
      <c r="J16" s="36"/>
      <c r="K16" s="36"/>
      <c r="L16" s="36"/>
      <c r="M16" s="36">
        <v>90.092307692307699</v>
      </c>
      <c r="N16" s="36">
        <v>8.3685187004745192</v>
      </c>
      <c r="O16" s="36">
        <v>0</v>
      </c>
      <c r="P16" s="36">
        <v>0</v>
      </c>
    </row>
    <row r="17" spans="2:16" x14ac:dyDescent="0.3">
      <c r="B17" s="32" t="s">
        <v>25</v>
      </c>
      <c r="C17" s="35"/>
      <c r="D17" s="36"/>
      <c r="E17" s="36"/>
      <c r="F17" s="36">
        <v>297.81981818181816</v>
      </c>
      <c r="G17" s="36">
        <v>0</v>
      </c>
      <c r="H17" s="36"/>
      <c r="I17" s="36"/>
      <c r="J17" s="36"/>
      <c r="K17" s="36"/>
      <c r="L17" s="36"/>
      <c r="M17" s="36">
        <v>457.84615384615387</v>
      </c>
      <c r="N17" s="36">
        <v>50.339726732055226</v>
      </c>
      <c r="O17" s="36">
        <v>0</v>
      </c>
      <c r="P17" s="36">
        <v>0</v>
      </c>
    </row>
    <row r="18" spans="2:16" x14ac:dyDescent="0.3">
      <c r="B18" s="37" t="s">
        <v>26</v>
      </c>
      <c r="C18" s="38"/>
      <c r="D18" s="39"/>
      <c r="E18" s="39"/>
      <c r="F18" s="39">
        <v>56.297127272727273</v>
      </c>
      <c r="G18" s="39">
        <v>0</v>
      </c>
      <c r="H18" s="39"/>
      <c r="I18" s="39"/>
      <c r="J18" s="39"/>
      <c r="K18" s="39"/>
      <c r="L18" s="39"/>
      <c r="M18" s="39">
        <v>45.769230769230766</v>
      </c>
      <c r="N18" s="39">
        <v>9.5157603010108804</v>
      </c>
      <c r="O18" s="39">
        <v>0</v>
      </c>
      <c r="P18" s="39">
        <v>0</v>
      </c>
    </row>
    <row r="19" spans="2:16" x14ac:dyDescent="0.3">
      <c r="B19" s="40" t="s">
        <v>27</v>
      </c>
      <c r="C19" s="41"/>
      <c r="D19" s="42">
        <v>8357</v>
      </c>
      <c r="E19" s="42">
        <v>6261</v>
      </c>
      <c r="F19" s="42">
        <v>7463</v>
      </c>
      <c r="G19" s="42">
        <v>6599</v>
      </c>
      <c r="H19" s="42">
        <v>4200</v>
      </c>
      <c r="I19" s="42">
        <v>1710</v>
      </c>
      <c r="J19" s="42">
        <v>1147</v>
      </c>
      <c r="K19" s="42">
        <v>5080</v>
      </c>
      <c r="L19" s="42">
        <v>1702</v>
      </c>
      <c r="M19" s="42">
        <f t="shared" ref="M19" si="8">SUM(M13:M18)</f>
        <v>9651.1600000000017</v>
      </c>
      <c r="N19" s="42">
        <v>3770</v>
      </c>
      <c r="O19" s="42">
        <v>1148</v>
      </c>
      <c r="P19" s="42">
        <v>1080</v>
      </c>
    </row>
    <row r="20" spans="2:16" x14ac:dyDescent="0.3">
      <c r="B20" s="43"/>
      <c r="C20" s="44"/>
      <c r="D20" s="26"/>
      <c r="E20" s="26"/>
      <c r="F20" s="45"/>
      <c r="G20" s="45"/>
      <c r="H20" s="45"/>
      <c r="I20" s="46"/>
      <c r="J20" s="46"/>
      <c r="K20" s="46"/>
      <c r="L20" s="46"/>
      <c r="M20" s="26"/>
      <c r="N20" s="26"/>
      <c r="O20" s="26"/>
      <c r="P20" s="26"/>
    </row>
    <row r="21" spans="2:16" ht="14.4" x14ac:dyDescent="0.3">
      <c r="B21"/>
      <c r="C21" s="55"/>
      <c r="D21" s="55"/>
      <c r="E21" s="55"/>
      <c r="F21" s="55"/>
      <c r="G21" s="55"/>
      <c r="H21" s="55"/>
      <c r="I21" s="46"/>
      <c r="J21" s="46"/>
      <c r="K21" s="46"/>
      <c r="L21" s="46"/>
    </row>
    <row r="22" spans="2:16" ht="14.4" x14ac:dyDescent="0.3">
      <c r="B22"/>
      <c r="C22" s="49"/>
      <c r="D22" s="49"/>
      <c r="E22" s="49"/>
      <c r="F22" s="56"/>
      <c r="G22" s="56"/>
      <c r="H22" s="56"/>
      <c r="I22" s="46"/>
      <c r="J22" s="46"/>
      <c r="K22" s="46"/>
      <c r="L22" s="46"/>
    </row>
    <row r="23" spans="2:16" ht="14.4" x14ac:dyDescent="0.3">
      <c r="B23"/>
      <c r="C23" s="49"/>
      <c r="D23" s="49"/>
      <c r="E23" s="49"/>
      <c r="F23" s="56"/>
      <c r="G23" s="56"/>
      <c r="H23" s="56"/>
      <c r="I23" s="54"/>
      <c r="J23" s="54"/>
      <c r="K23" s="46"/>
      <c r="L23" s="46"/>
    </row>
    <row r="24" spans="2:16" ht="14.4" x14ac:dyDescent="0.3">
      <c r="B24"/>
      <c r="C24" s="49"/>
      <c r="D24" s="49"/>
      <c r="E24" s="49"/>
      <c r="F24" s="51"/>
      <c r="G24" s="51"/>
      <c r="H24" s="51"/>
      <c r="I24" s="54"/>
      <c r="J24" s="54"/>
      <c r="K24" s="46"/>
      <c r="L24" s="46"/>
    </row>
    <row r="25" spans="2:16" ht="14.4" x14ac:dyDescent="0.3">
      <c r="B25"/>
      <c r="C25" s="49"/>
      <c r="D25" s="49"/>
      <c r="E25" s="49"/>
      <c r="F25" s="56"/>
      <c r="G25" s="56"/>
      <c r="H25" s="56"/>
      <c r="I25" s="54"/>
      <c r="J25" s="54"/>
      <c r="K25" s="54"/>
      <c r="L25" s="54"/>
    </row>
    <row r="26" spans="2:16" ht="14.4" x14ac:dyDescent="0.3">
      <c r="B26"/>
      <c r="C26" s="49"/>
      <c r="D26" s="49"/>
      <c r="E26" s="49"/>
      <c r="F26" s="57"/>
      <c r="G26" s="57"/>
      <c r="H26" s="57"/>
      <c r="I26" s="46"/>
      <c r="J26" s="46"/>
      <c r="K26" s="54"/>
      <c r="L26" s="54"/>
    </row>
    <row r="27" spans="2:16" ht="14.4" x14ac:dyDescent="0.3">
      <c r="B27"/>
      <c r="C27" s="49"/>
      <c r="D27" s="49"/>
      <c r="E27" s="49"/>
      <c r="F27" s="56"/>
      <c r="G27" s="56"/>
      <c r="H27" s="56"/>
      <c r="I27" s="46"/>
      <c r="J27" s="46"/>
      <c r="K27" s="54"/>
      <c r="L27" s="54"/>
    </row>
    <row r="28" spans="2:16" ht="14.4" x14ac:dyDescent="0.3">
      <c r="B28"/>
      <c r="C28" s="50"/>
      <c r="D28" s="50"/>
      <c r="E28" s="50"/>
      <c r="F28" s="51"/>
      <c r="G28" s="51"/>
      <c r="H28" s="51"/>
      <c r="I28" s="46"/>
      <c r="J28" s="46"/>
      <c r="K28" s="46"/>
      <c r="L28" s="46"/>
    </row>
    <row r="29" spans="2:16" ht="14.4" x14ac:dyDescent="0.3">
      <c r="B29"/>
      <c r="C29" s="50"/>
      <c r="D29" s="50"/>
      <c r="E29" s="50"/>
      <c r="F29" s="51"/>
      <c r="G29" s="51"/>
      <c r="H29" s="51"/>
      <c r="I29" s="46"/>
      <c r="J29" s="46"/>
      <c r="K29" s="46"/>
      <c r="L29" s="46"/>
    </row>
    <row r="30" spans="2:16" ht="14.4" x14ac:dyDescent="0.3">
      <c r="B30"/>
      <c r="C30" s="50"/>
      <c r="D30" s="50"/>
      <c r="E30" s="50"/>
      <c r="F30" s="51"/>
      <c r="G30" s="51"/>
      <c r="H30" s="51"/>
      <c r="I30" s="46"/>
      <c r="J30" s="46"/>
      <c r="K30" s="46"/>
      <c r="L30" s="46"/>
    </row>
    <row r="31" spans="2:16" ht="14.4" x14ac:dyDescent="0.3">
      <c r="B31"/>
      <c r="C31" s="50"/>
      <c r="D31" s="50"/>
      <c r="E31" s="50"/>
      <c r="F31" s="51"/>
      <c r="G31" s="51"/>
      <c r="H31" s="51"/>
      <c r="I31" s="46"/>
      <c r="J31" s="46"/>
      <c r="K31" s="46"/>
      <c r="L31" s="46"/>
    </row>
    <row r="32" spans="2:16" ht="14.4" x14ac:dyDescent="0.3">
      <c r="B32"/>
      <c r="C32" s="50"/>
      <c r="D32" s="50"/>
      <c r="E32" s="50"/>
      <c r="F32" s="51"/>
      <c r="G32" s="51"/>
      <c r="H32" s="51"/>
      <c r="I32" s="46"/>
      <c r="J32" s="46"/>
      <c r="K32" s="46"/>
      <c r="L32" s="46"/>
    </row>
    <row r="33" spans="2:12" ht="14.4" x14ac:dyDescent="0.3">
      <c r="B33"/>
      <c r="C33" s="50"/>
      <c r="D33" s="50"/>
      <c r="E33" s="50"/>
      <c r="F33" s="51"/>
      <c r="G33" s="51"/>
      <c r="H33" s="51"/>
      <c r="I33" s="46"/>
      <c r="J33" s="46"/>
      <c r="K33" s="46"/>
      <c r="L33" s="46"/>
    </row>
    <row r="34" spans="2:12" ht="14.4" x14ac:dyDescent="0.3">
      <c r="B34"/>
      <c r="C34" s="49"/>
      <c r="D34" s="49"/>
      <c r="E34" s="49"/>
      <c r="F34" s="51"/>
      <c r="G34" s="51"/>
      <c r="H34" s="51"/>
      <c r="I34" s="46"/>
      <c r="J34" s="46"/>
      <c r="K34" s="46"/>
      <c r="L34" s="46"/>
    </row>
    <row r="35" spans="2:12" ht="14.4" x14ac:dyDescent="0.3">
      <c r="B35"/>
      <c r="C35" s="49"/>
      <c r="D35" s="49"/>
      <c r="E35" s="49"/>
      <c r="F35" s="52"/>
      <c r="G35" s="52"/>
      <c r="H35" s="52"/>
      <c r="I35" s="46"/>
      <c r="J35" s="46"/>
      <c r="K35" s="46"/>
      <c r="L35" s="46"/>
    </row>
    <row r="36" spans="2:12" ht="14.4" x14ac:dyDescent="0.3">
      <c r="B36"/>
      <c r="C36" s="49"/>
      <c r="D36" s="49"/>
      <c r="E36" s="49"/>
      <c r="F36" s="52"/>
      <c r="G36" s="52"/>
      <c r="H36" s="52"/>
      <c r="I36" s="46"/>
      <c r="J36" s="46"/>
      <c r="K36" s="46"/>
      <c r="L36" s="46"/>
    </row>
    <row r="37" spans="2:12" ht="14.4" x14ac:dyDescent="0.3">
      <c r="B37"/>
      <c r="C37" s="49"/>
      <c r="D37" s="49"/>
      <c r="E37" s="49"/>
      <c r="F37" s="51"/>
      <c r="G37" s="51"/>
      <c r="H37" s="51"/>
      <c r="I37" s="46"/>
      <c r="J37" s="46"/>
      <c r="K37" s="46"/>
      <c r="L37" s="46"/>
    </row>
    <row r="38" spans="2:12" ht="14.4" x14ac:dyDescent="0.3">
      <c r="B38"/>
      <c r="C38" s="49"/>
      <c r="D38" s="49"/>
      <c r="E38" s="49"/>
      <c r="F38" s="52"/>
      <c r="G38" s="52"/>
      <c r="H38" s="52"/>
      <c r="I38" s="46"/>
      <c r="J38" s="46"/>
      <c r="K38" s="46"/>
      <c r="L38" s="46"/>
    </row>
    <row r="39" spans="2:12" ht="14.4" x14ac:dyDescent="0.3">
      <c r="B39"/>
      <c r="C39" s="49"/>
      <c r="D39" s="49"/>
      <c r="E39" s="49"/>
      <c r="F39" s="53"/>
      <c r="G39" s="53"/>
      <c r="H39" s="53"/>
      <c r="I39" s="46"/>
      <c r="J39" s="46"/>
      <c r="K39" s="46"/>
      <c r="L39" s="46"/>
    </row>
    <row r="40" spans="2:12" ht="14.4" x14ac:dyDescent="0.3">
      <c r="B40"/>
      <c r="C40" s="49"/>
      <c r="D40" s="49"/>
      <c r="E40" s="49"/>
      <c r="F40" s="46"/>
      <c r="G40" s="46"/>
      <c r="H40" s="46"/>
      <c r="I40" s="46"/>
      <c r="J40" s="46"/>
      <c r="K40" s="46"/>
      <c r="L40" s="46"/>
    </row>
    <row r="41" spans="2:12" ht="14.4" x14ac:dyDescent="0.3">
      <c r="B41"/>
      <c r="C41" s="46"/>
      <c r="D41" s="46"/>
      <c r="E41" s="46"/>
      <c r="F41" s="46"/>
      <c r="G41" s="46"/>
      <c r="H41" s="46"/>
      <c r="I41" s="46"/>
      <c r="J41" s="46"/>
      <c r="K41" s="46"/>
      <c r="L41" s="46"/>
    </row>
    <row r="42" spans="2:12" ht="14.4" x14ac:dyDescent="0.3">
      <c r="B42"/>
      <c r="C42" s="46"/>
      <c r="D42" s="46"/>
      <c r="E42" s="46"/>
      <c r="F42" s="46"/>
      <c r="G42" s="46"/>
      <c r="H42" s="46"/>
      <c r="I42" s="46"/>
      <c r="J42" s="46"/>
      <c r="K42" s="46"/>
      <c r="L42" s="46"/>
    </row>
    <row r="43" spans="2:12" ht="14.4" x14ac:dyDescent="0.3">
      <c r="B43"/>
      <c r="C43" s="46"/>
      <c r="D43" s="46"/>
      <c r="E43" s="46"/>
      <c r="F43" s="46"/>
      <c r="G43" s="46"/>
      <c r="H43" s="46"/>
      <c r="I43" s="46"/>
      <c r="J43" s="46"/>
      <c r="K43" s="46"/>
      <c r="L43" s="46"/>
    </row>
    <row r="44" spans="2:12" ht="14.4" x14ac:dyDescent="0.3">
      <c r="B44"/>
      <c r="C44" s="46"/>
      <c r="D44" s="46"/>
      <c r="E44" s="46"/>
      <c r="F44" s="46"/>
      <c r="G44" s="46"/>
      <c r="H44" s="46"/>
      <c r="I44" s="46"/>
      <c r="J44" s="46"/>
      <c r="K44" s="46"/>
      <c r="L44" s="46"/>
    </row>
    <row r="45" spans="2:12" ht="14.4" x14ac:dyDescent="0.3">
      <c r="B45"/>
      <c r="C45" s="46"/>
      <c r="D45" s="46"/>
      <c r="E45" s="46"/>
      <c r="F45" s="46"/>
      <c r="G45" s="46"/>
      <c r="H45" s="46"/>
      <c r="I45" s="46"/>
      <c r="J45" s="46"/>
      <c r="K45" s="46"/>
      <c r="L45" s="46"/>
    </row>
    <row r="46" spans="2:12" ht="14.4" x14ac:dyDescent="0.3">
      <c r="B46"/>
      <c r="C46" s="46"/>
      <c r="D46" s="46"/>
      <c r="E46" s="46"/>
      <c r="F46" s="46"/>
      <c r="G46" s="46"/>
      <c r="H46" s="46"/>
      <c r="I46" s="46"/>
      <c r="J46" s="46"/>
      <c r="K46" s="46"/>
      <c r="L46" s="46"/>
    </row>
    <row r="47" spans="2:12" ht="14.4" x14ac:dyDescent="0.3">
      <c r="B47"/>
      <c r="C47" s="46"/>
      <c r="D47" s="46"/>
      <c r="E47" s="46"/>
      <c r="F47" s="46"/>
      <c r="G47" s="46"/>
      <c r="H47" s="46"/>
      <c r="I47" s="46"/>
      <c r="J47" s="46"/>
      <c r="K47" s="46"/>
      <c r="L47" s="46"/>
    </row>
    <row r="48" spans="2:12" ht="14.4" x14ac:dyDescent="0.3">
      <c r="B48"/>
      <c r="C48" s="46"/>
      <c r="D48" s="46"/>
      <c r="E48" s="46"/>
      <c r="F48" s="46"/>
      <c r="G48" s="46"/>
      <c r="H48" s="46"/>
      <c r="I48" s="46"/>
      <c r="J48" s="46"/>
      <c r="K48" s="46"/>
      <c r="L48" s="46"/>
    </row>
    <row r="49" spans="2:12" ht="14.4" x14ac:dyDescent="0.3">
      <c r="B49"/>
      <c r="C49" s="46"/>
      <c r="D49" s="46"/>
      <c r="E49" s="46"/>
      <c r="F49" s="46"/>
      <c r="G49" s="46"/>
      <c r="H49" s="46"/>
      <c r="I49" s="46"/>
      <c r="J49" s="46"/>
      <c r="K49" s="46"/>
      <c r="L49" s="46"/>
    </row>
    <row r="50" spans="2:12" ht="14.4" x14ac:dyDescent="0.3">
      <c r="B50"/>
      <c r="C50" s="46"/>
      <c r="D50" s="46"/>
      <c r="E50" s="46"/>
      <c r="F50" s="46"/>
      <c r="G50" s="46"/>
      <c r="H50" s="46"/>
      <c r="I50" s="46"/>
      <c r="J50" s="46"/>
      <c r="K50" s="46"/>
      <c r="L50" s="46"/>
    </row>
    <row r="51" spans="2:12" ht="14.4" x14ac:dyDescent="0.3">
      <c r="B51"/>
      <c r="C51" s="46"/>
      <c r="D51" s="46"/>
      <c r="E51" s="46"/>
      <c r="F51" s="46"/>
      <c r="G51" s="46"/>
      <c r="H51" s="46"/>
      <c r="I51" s="46"/>
      <c r="J51" s="46"/>
      <c r="K51" s="46"/>
      <c r="L51" s="46"/>
    </row>
    <row r="52" spans="2:12" ht="14.4" x14ac:dyDescent="0.3">
      <c r="B52"/>
      <c r="I52" s="46"/>
      <c r="J52" s="46"/>
      <c r="K52" s="46"/>
      <c r="L52" s="46"/>
    </row>
    <row r="53" spans="2:12" ht="14.4" x14ac:dyDescent="0.3">
      <c r="B53"/>
      <c r="I53" s="46"/>
      <c r="J53" s="46"/>
      <c r="K53" s="46"/>
      <c r="L53" s="46"/>
    </row>
    <row r="54" spans="2:12" ht="14.4" x14ac:dyDescent="0.3">
      <c r="B54"/>
      <c r="I54" s="46"/>
      <c r="J54" s="46"/>
      <c r="K54" s="46"/>
      <c r="L54" s="46"/>
    </row>
    <row r="55" spans="2:12" ht="14.4" x14ac:dyDescent="0.3">
      <c r="B55"/>
      <c r="I55" s="46"/>
      <c r="J55" s="46"/>
      <c r="K55" s="46"/>
      <c r="L55" s="46"/>
    </row>
    <row r="56" spans="2:12" ht="14.4" x14ac:dyDescent="0.3">
      <c r="B56"/>
      <c r="K56" s="46"/>
      <c r="L56" s="46"/>
    </row>
    <row r="57" spans="2:12" ht="14.4" x14ac:dyDescent="0.3">
      <c r="B57"/>
      <c r="K57" s="46"/>
      <c r="L57" s="46"/>
    </row>
    <row r="58" spans="2:12" ht="14.4" x14ac:dyDescent="0.3">
      <c r="B58"/>
    </row>
  </sheetData>
  <mergeCells count="2">
    <mergeCell ref="B11:C11"/>
    <mergeCell ref="B12:N1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2BC5C4-2804-49ED-85FF-AECEF1DAEEFD}">
  <dimension ref="B2:Q80"/>
  <sheetViews>
    <sheetView showGridLines="0" zoomScaleNormal="100" workbookViewId="0">
      <selection activeCell="E24" sqref="E24"/>
    </sheetView>
  </sheetViews>
  <sheetFormatPr defaultColWidth="9" defaultRowHeight="14.4" x14ac:dyDescent="0.3"/>
  <cols>
    <col min="1" max="1" width="2.6640625" style="3" customWidth="1"/>
    <col min="2" max="2" width="22.77734375" style="3" bestFit="1" customWidth="1"/>
    <col min="3" max="3" width="13.21875" style="3" customWidth="1"/>
    <col min="4" max="4" width="11.109375" style="3" customWidth="1"/>
    <col min="5" max="6" width="10.21875" style="3" bestFit="1" customWidth="1"/>
    <col min="7" max="8" width="9.21875" style="3" bestFit="1" customWidth="1"/>
    <col min="9" max="9" width="10.21875" style="3" bestFit="1" customWidth="1"/>
    <col min="10" max="10" width="10.109375" style="3" bestFit="1" customWidth="1"/>
    <col min="11" max="12" width="10.21875" style="3" bestFit="1" customWidth="1"/>
    <col min="13" max="16384" width="9" style="3"/>
  </cols>
  <sheetData>
    <row r="2" spans="2:12" ht="13.8" x14ac:dyDescent="0.3">
      <c r="B2" s="1"/>
      <c r="C2" s="2"/>
      <c r="D2" s="2" t="s">
        <v>0</v>
      </c>
      <c r="E2" s="2" t="s">
        <v>2</v>
      </c>
      <c r="F2" s="2" t="s">
        <v>3</v>
      </c>
      <c r="G2" s="2" t="s">
        <v>5</v>
      </c>
      <c r="H2" s="2" t="s">
        <v>6</v>
      </c>
      <c r="I2" s="2" t="s">
        <v>7</v>
      </c>
      <c r="J2" s="2" t="s">
        <v>8</v>
      </c>
      <c r="K2" s="2" t="s">
        <v>9</v>
      </c>
      <c r="L2" s="2" t="s">
        <v>30</v>
      </c>
    </row>
    <row r="3" spans="2:12" ht="13.8" x14ac:dyDescent="0.3">
      <c r="B3" s="4" t="s">
        <v>10</v>
      </c>
      <c r="C3" s="5"/>
      <c r="D3" s="58">
        <v>56990</v>
      </c>
      <c r="E3" s="6">
        <v>28990</v>
      </c>
      <c r="F3" s="6">
        <v>18990</v>
      </c>
      <c r="G3" s="6">
        <v>10990</v>
      </c>
      <c r="H3" s="6">
        <v>8990</v>
      </c>
      <c r="I3" s="6">
        <v>18990</v>
      </c>
      <c r="J3" s="6">
        <v>11990</v>
      </c>
      <c r="K3" s="6">
        <v>35990</v>
      </c>
      <c r="L3" s="6">
        <v>24990</v>
      </c>
    </row>
    <row r="4" spans="2:12" ht="13.8" x14ac:dyDescent="0.3">
      <c r="B4" s="7" t="s">
        <v>11</v>
      </c>
      <c r="C4" s="8"/>
      <c r="D4" s="9">
        <f>D6/1.19</f>
        <v>47890.756302521011</v>
      </c>
      <c r="E4" s="10">
        <f t="shared" ref="E4:L4" si="0">E6/1.19</f>
        <v>24361.344537815126</v>
      </c>
      <c r="F4" s="10">
        <f t="shared" si="0"/>
        <v>15957.983193277312</v>
      </c>
      <c r="G4" s="10">
        <f t="shared" si="0"/>
        <v>9235.2941176470595</v>
      </c>
      <c r="H4" s="10">
        <f t="shared" si="0"/>
        <v>7554.6218487394963</v>
      </c>
      <c r="I4" s="10">
        <f t="shared" si="0"/>
        <v>15957.983193277312</v>
      </c>
      <c r="J4" s="10">
        <f t="shared" si="0"/>
        <v>10075.63025210084</v>
      </c>
      <c r="K4" s="10">
        <f t="shared" si="0"/>
        <v>30243.697478991598</v>
      </c>
      <c r="L4" s="10">
        <f t="shared" si="0"/>
        <v>21000</v>
      </c>
    </row>
    <row r="5" spans="2:12" ht="13.8" x14ac:dyDescent="0.3">
      <c r="B5" s="4" t="s">
        <v>12</v>
      </c>
      <c r="C5" s="11"/>
      <c r="D5" s="12">
        <v>0</v>
      </c>
      <c r="E5" s="13">
        <v>0</v>
      </c>
      <c r="F5" s="13">
        <v>0</v>
      </c>
      <c r="G5" s="13">
        <v>0</v>
      </c>
      <c r="H5" s="13">
        <v>0</v>
      </c>
      <c r="I5" s="13">
        <v>0</v>
      </c>
      <c r="J5" s="13">
        <v>0</v>
      </c>
      <c r="K5" s="13">
        <v>0</v>
      </c>
      <c r="L5" s="13">
        <v>0</v>
      </c>
    </row>
    <row r="6" spans="2:12" ht="13.8" x14ac:dyDescent="0.3">
      <c r="B6" s="4" t="s">
        <v>29</v>
      </c>
      <c r="C6" s="14"/>
      <c r="D6" s="15">
        <f>D3*(1-D5)</f>
        <v>56990</v>
      </c>
      <c r="E6" s="16">
        <f t="shared" ref="E6:L6" si="1">E3*(1-E5)</f>
        <v>28990</v>
      </c>
      <c r="F6" s="16">
        <f t="shared" si="1"/>
        <v>18990</v>
      </c>
      <c r="G6" s="16">
        <f t="shared" si="1"/>
        <v>10990</v>
      </c>
      <c r="H6" s="16">
        <f t="shared" si="1"/>
        <v>8990</v>
      </c>
      <c r="I6" s="16">
        <f t="shared" si="1"/>
        <v>18990</v>
      </c>
      <c r="J6" s="16">
        <f t="shared" si="1"/>
        <v>11990</v>
      </c>
      <c r="K6" s="16">
        <f t="shared" si="1"/>
        <v>35990</v>
      </c>
      <c r="L6" s="16">
        <f t="shared" si="1"/>
        <v>24990</v>
      </c>
    </row>
    <row r="7" spans="2:12" ht="13.8" x14ac:dyDescent="0.3">
      <c r="B7" s="4" t="s">
        <v>13</v>
      </c>
      <c r="C7" s="17"/>
      <c r="D7" s="18">
        <f>D4</f>
        <v>47890.756302521011</v>
      </c>
      <c r="E7" s="18">
        <f>E4</f>
        <v>24361.344537815126</v>
      </c>
      <c r="F7" s="18">
        <f>F4</f>
        <v>15957.983193277312</v>
      </c>
      <c r="G7" s="18">
        <f>G4</f>
        <v>9235.2941176470595</v>
      </c>
      <c r="H7" s="18">
        <f>H4</f>
        <v>7554.6218487394963</v>
      </c>
      <c r="I7" s="18">
        <f>I4</f>
        <v>15957.983193277312</v>
      </c>
      <c r="J7" s="18">
        <f>J4</f>
        <v>10075.63025210084</v>
      </c>
      <c r="K7" s="18">
        <f>K4</f>
        <v>30243.697478991598</v>
      </c>
      <c r="L7" s="18">
        <f>L4</f>
        <v>21000</v>
      </c>
    </row>
    <row r="8" spans="2:12" ht="13.8" x14ac:dyDescent="0.3">
      <c r="B8" s="19" t="s">
        <v>14</v>
      </c>
      <c r="C8" s="19"/>
      <c r="D8" s="20">
        <f t="shared" ref="D8:L8" si="2">D20</f>
        <v>9527.6502941176477</v>
      </c>
      <c r="E8" s="20">
        <f t="shared" si="2"/>
        <v>7253.2835519504906</v>
      </c>
      <c r="F8" s="20">
        <f t="shared" si="2"/>
        <v>7235</v>
      </c>
      <c r="G8" s="20">
        <f t="shared" si="2"/>
        <v>1500</v>
      </c>
      <c r="H8" s="20">
        <f t="shared" si="2"/>
        <v>915</v>
      </c>
      <c r="I8" s="20">
        <f t="shared" si="2"/>
        <v>5500</v>
      </c>
      <c r="J8" s="20">
        <f t="shared" si="2"/>
        <v>1823</v>
      </c>
      <c r="K8" s="20">
        <f t="shared" si="2"/>
        <v>9651.1600000000017</v>
      </c>
      <c r="L8" s="20">
        <f t="shared" si="2"/>
        <v>4578.4517284428703</v>
      </c>
    </row>
    <row r="9" spans="2:12" ht="13.8" x14ac:dyDescent="0.3">
      <c r="B9" s="19" t="s">
        <v>15</v>
      </c>
      <c r="C9" s="19"/>
      <c r="D9" s="20">
        <f>D7-D8</f>
        <v>38363.106008403367</v>
      </c>
      <c r="E9" s="20">
        <f t="shared" ref="E9:L9" si="3">E7-E8</f>
        <v>17108.060985864635</v>
      </c>
      <c r="F9" s="20">
        <f t="shared" si="3"/>
        <v>8722.9831932773122</v>
      </c>
      <c r="G9" s="20">
        <f t="shared" si="3"/>
        <v>7735.2941176470595</v>
      </c>
      <c r="H9" s="20">
        <f t="shared" si="3"/>
        <v>6639.6218487394963</v>
      </c>
      <c r="I9" s="20">
        <f t="shared" si="3"/>
        <v>10457.983193277312</v>
      </c>
      <c r="J9" s="20">
        <f t="shared" si="3"/>
        <v>8252.6302521008402</v>
      </c>
      <c r="K9" s="20">
        <f t="shared" si="3"/>
        <v>20592.537478991595</v>
      </c>
      <c r="L9" s="20">
        <f t="shared" si="3"/>
        <v>16421.548271557131</v>
      </c>
    </row>
    <row r="10" spans="2:12" ht="13.8" x14ac:dyDescent="0.3">
      <c r="B10" s="21" t="s">
        <v>16</v>
      </c>
      <c r="C10" s="21"/>
      <c r="D10" s="22">
        <f>(D7-D8)/D7</f>
        <v>0.80105450342165296</v>
      </c>
      <c r="E10" s="22">
        <f t="shared" ref="E10:L10" si="4">(E7-E8)/E7</f>
        <v>0.7022625930727463</v>
      </c>
      <c r="F10" s="22">
        <f t="shared" si="4"/>
        <v>0.54662190626645601</v>
      </c>
      <c r="G10" s="22">
        <f t="shared" si="4"/>
        <v>0.83757961783439494</v>
      </c>
      <c r="H10" s="22">
        <f t="shared" si="4"/>
        <v>0.87888209121245831</v>
      </c>
      <c r="I10" s="22">
        <f t="shared" si="4"/>
        <v>0.65534491837809372</v>
      </c>
      <c r="J10" s="22">
        <f t="shared" si="4"/>
        <v>0.81906839032527101</v>
      </c>
      <c r="K10" s="22">
        <f t="shared" si="4"/>
        <v>0.68088690191719914</v>
      </c>
      <c r="L10" s="22">
        <f t="shared" si="4"/>
        <v>0.78197848912176815</v>
      </c>
    </row>
    <row r="12" spans="2:12" s="26" customFormat="1" ht="13.8" x14ac:dyDescent="0.3">
      <c r="B12" s="23" t="s">
        <v>17</v>
      </c>
      <c r="C12" s="24"/>
      <c r="D12" s="25" t="s">
        <v>18</v>
      </c>
      <c r="E12" s="25" t="s">
        <v>19</v>
      </c>
      <c r="F12" s="25" t="s">
        <v>18</v>
      </c>
      <c r="G12" s="25" t="s">
        <v>19</v>
      </c>
      <c r="H12" s="25" t="s">
        <v>19</v>
      </c>
      <c r="I12" s="25" t="s">
        <v>18</v>
      </c>
      <c r="J12" s="25" t="s">
        <v>19</v>
      </c>
      <c r="K12" s="25" t="s">
        <v>19</v>
      </c>
      <c r="L12" s="25" t="s">
        <v>19</v>
      </c>
    </row>
    <row r="13" spans="2:12" ht="13.8" x14ac:dyDescent="0.3">
      <c r="B13" s="27" t="s">
        <v>20</v>
      </c>
      <c r="C13" s="28"/>
      <c r="D13" s="28"/>
      <c r="E13" s="28"/>
      <c r="F13" s="28"/>
      <c r="G13" s="28"/>
      <c r="H13" s="28"/>
      <c r="I13" s="28"/>
      <c r="J13" s="28"/>
      <c r="K13" s="28"/>
      <c r="L13" s="28"/>
    </row>
    <row r="14" spans="2:12" ht="13.8" x14ac:dyDescent="0.3">
      <c r="B14" s="29" t="s">
        <v>21</v>
      </c>
      <c r="C14" s="30">
        <v>0</v>
      </c>
      <c r="D14" s="31">
        <v>9527.6502941176477</v>
      </c>
      <c r="E14" s="31">
        <v>4222.1454545454544</v>
      </c>
      <c r="F14" s="31">
        <v>4070</v>
      </c>
      <c r="G14" s="31">
        <v>1500</v>
      </c>
      <c r="H14" s="31">
        <v>915</v>
      </c>
      <c r="I14" s="31"/>
      <c r="J14" s="31"/>
      <c r="K14" s="31">
        <v>6149.8</v>
      </c>
      <c r="L14" s="31">
        <v>4064.3</v>
      </c>
    </row>
    <row r="15" spans="2:12" ht="13.8" x14ac:dyDescent="0.3">
      <c r="B15" s="32" t="s">
        <v>22</v>
      </c>
      <c r="C15" s="33"/>
      <c r="D15" s="34"/>
      <c r="E15" s="34">
        <v>2294.6964610413997</v>
      </c>
      <c r="F15" s="34"/>
      <c r="G15" s="34"/>
      <c r="H15" s="34"/>
      <c r="I15" s="34"/>
      <c r="J15" s="34"/>
      <c r="K15" s="34">
        <v>2753.8061538461538</v>
      </c>
      <c r="L15" s="34">
        <v>389.67287087396028</v>
      </c>
    </row>
    <row r="16" spans="2:12" ht="13.8" x14ac:dyDescent="0.3">
      <c r="B16" s="32" t="s">
        <v>23</v>
      </c>
      <c r="C16" s="35"/>
      <c r="D16" s="36"/>
      <c r="E16" s="36">
        <v>332.81487272727276</v>
      </c>
      <c r="F16" s="36"/>
      <c r="G16" s="36"/>
      <c r="H16" s="36"/>
      <c r="I16" s="36">
        <f>SUM(I14:I15)</f>
        <v>0</v>
      </c>
      <c r="J16" s="36">
        <f>SUM(J14:J15)</f>
        <v>0</v>
      </c>
      <c r="K16" s="36">
        <v>153.84615384615384</v>
      </c>
      <c r="L16" s="36">
        <v>56.254851835368768</v>
      </c>
    </row>
    <row r="17" spans="2:12" ht="13.8" x14ac:dyDescent="0.3">
      <c r="B17" s="32" t="s">
        <v>24</v>
      </c>
      <c r="C17" s="35"/>
      <c r="D17" s="36"/>
      <c r="E17" s="36">
        <v>49.509818181818183</v>
      </c>
      <c r="F17" s="36"/>
      <c r="G17" s="36"/>
      <c r="H17" s="36"/>
      <c r="I17" s="36"/>
      <c r="J17" s="36"/>
      <c r="K17" s="36">
        <v>90.092307692307699</v>
      </c>
      <c r="L17" s="36">
        <v>8.3685187004745192</v>
      </c>
    </row>
    <row r="18" spans="2:12" ht="13.8" x14ac:dyDescent="0.3">
      <c r="B18" s="32" t="s">
        <v>25</v>
      </c>
      <c r="C18" s="35"/>
      <c r="D18" s="36"/>
      <c r="E18" s="36">
        <v>297.81981818181816</v>
      </c>
      <c r="F18" s="36"/>
      <c r="G18" s="36"/>
      <c r="H18" s="36"/>
      <c r="I18" s="36"/>
      <c r="J18" s="36"/>
      <c r="K18" s="36">
        <v>457.84615384615387</v>
      </c>
      <c r="L18" s="36">
        <v>50.339726732055226</v>
      </c>
    </row>
    <row r="19" spans="2:12" ht="13.8" x14ac:dyDescent="0.3">
      <c r="B19" s="37" t="s">
        <v>26</v>
      </c>
      <c r="C19" s="38"/>
      <c r="D19" s="39"/>
      <c r="E19" s="39">
        <v>56.297127272727273</v>
      </c>
      <c r="F19" s="39"/>
      <c r="G19" s="39"/>
      <c r="H19" s="39"/>
      <c r="I19" s="39"/>
      <c r="J19" s="39"/>
      <c r="K19" s="39">
        <v>45.769230769230766</v>
      </c>
      <c r="L19" s="39">
        <v>9.5157603010108804</v>
      </c>
    </row>
    <row r="20" spans="2:12" ht="13.8" x14ac:dyDescent="0.3">
      <c r="B20" s="40" t="s">
        <v>27</v>
      </c>
      <c r="C20" s="41"/>
      <c r="D20" s="42">
        <f>SUM(D14:D19)</f>
        <v>9527.6502941176477</v>
      </c>
      <c r="E20" s="42">
        <f>SUM(E14:E19)</f>
        <v>7253.2835519504906</v>
      </c>
      <c r="F20" s="42">
        <v>7235</v>
      </c>
      <c r="G20" s="42">
        <f t="shared" ref="G20:L20" si="5">SUM(G14:G19)</f>
        <v>1500</v>
      </c>
      <c r="H20" s="42">
        <f t="shared" si="5"/>
        <v>915</v>
      </c>
      <c r="I20" s="42">
        <v>5500</v>
      </c>
      <c r="J20" s="42">
        <v>1823</v>
      </c>
      <c r="K20" s="42">
        <f t="shared" si="5"/>
        <v>9651.1600000000017</v>
      </c>
      <c r="L20" s="42">
        <f t="shared" si="5"/>
        <v>4578.4517284428703</v>
      </c>
    </row>
    <row r="21" spans="2:12" ht="13.8" x14ac:dyDescent="0.3">
      <c r="B21" s="43"/>
      <c r="C21" s="44"/>
      <c r="D21" s="26"/>
      <c r="E21" s="45"/>
      <c r="F21" s="45"/>
      <c r="G21" s="46"/>
      <c r="H21" s="46"/>
      <c r="I21" s="46"/>
      <c r="J21" s="46"/>
      <c r="K21" s="26"/>
      <c r="L21" s="26"/>
    </row>
    <row r="22" spans="2:12" ht="13.8" x14ac:dyDescent="0.3">
      <c r="C22" s="47" t="s">
        <v>28</v>
      </c>
    </row>
    <row r="23" spans="2:12" ht="13.8" x14ac:dyDescent="0.3">
      <c r="C23" s="48">
        <v>900</v>
      </c>
    </row>
    <row r="24" spans="2:12" ht="13.8" x14ac:dyDescent="0.3">
      <c r="B24" s="49"/>
    </row>
    <row r="25" spans="2:12" ht="13.8" x14ac:dyDescent="0.3">
      <c r="B25" s="49"/>
    </row>
    <row r="26" spans="2:12" x14ac:dyDescent="0.3">
      <c r="B26"/>
      <c r="C26" s="55"/>
      <c r="D26" s="55"/>
      <c r="E26" s="55"/>
      <c r="F26" s="55"/>
      <c r="G26" s="46"/>
      <c r="H26" s="46"/>
      <c r="I26" s="46"/>
      <c r="J26" s="46"/>
    </row>
    <row r="27" spans="2:12" x14ac:dyDescent="0.3">
      <c r="B27"/>
      <c r="C27" s="49"/>
      <c r="D27" s="49"/>
      <c r="E27" s="56"/>
      <c r="F27" s="56"/>
      <c r="G27" s="46"/>
      <c r="H27" s="46"/>
      <c r="I27" s="46"/>
      <c r="J27" s="46"/>
    </row>
    <row r="28" spans="2:12" x14ac:dyDescent="0.3">
      <c r="B28"/>
      <c r="C28" s="49"/>
      <c r="D28" s="49"/>
      <c r="E28" s="56"/>
      <c r="F28" s="56"/>
      <c r="G28" s="54"/>
      <c r="H28" s="54"/>
      <c r="I28" s="46"/>
      <c r="J28" s="46"/>
    </row>
    <row r="29" spans="2:12" x14ac:dyDescent="0.3">
      <c r="B29"/>
      <c r="C29" s="49"/>
      <c r="D29" s="49"/>
      <c r="E29" s="51"/>
      <c r="F29" s="51"/>
      <c r="G29" s="54"/>
      <c r="H29" s="54"/>
      <c r="I29" s="46"/>
      <c r="J29" s="46"/>
    </row>
    <row r="30" spans="2:12" x14ac:dyDescent="0.3">
      <c r="B30"/>
      <c r="C30" s="49"/>
      <c r="D30" s="49"/>
      <c r="E30" s="56"/>
      <c r="F30" s="56"/>
      <c r="G30" s="54"/>
      <c r="H30" s="54"/>
      <c r="I30" s="54"/>
      <c r="J30" s="54"/>
    </row>
    <row r="31" spans="2:12" x14ac:dyDescent="0.3">
      <c r="B31"/>
      <c r="C31" s="49"/>
      <c r="D31" s="49"/>
      <c r="E31" s="57"/>
      <c r="F31" s="57"/>
      <c r="G31" s="46"/>
      <c r="H31" s="46"/>
      <c r="I31" s="54"/>
      <c r="J31" s="54"/>
    </row>
    <row r="32" spans="2:12" x14ac:dyDescent="0.3">
      <c r="B32"/>
      <c r="C32" s="49"/>
      <c r="D32" s="49"/>
      <c r="E32" s="56"/>
      <c r="F32" s="56"/>
      <c r="G32" s="46"/>
      <c r="H32" s="46"/>
      <c r="I32" s="54"/>
      <c r="J32" s="54"/>
    </row>
    <row r="33" spans="2:10" x14ac:dyDescent="0.3">
      <c r="B33"/>
      <c r="C33" s="50"/>
      <c r="D33" s="50"/>
      <c r="E33" s="51"/>
      <c r="F33" s="51"/>
      <c r="G33" s="46"/>
      <c r="H33" s="46"/>
      <c r="I33" s="46"/>
      <c r="J33" s="46"/>
    </row>
    <row r="34" spans="2:10" x14ac:dyDescent="0.3">
      <c r="B34"/>
      <c r="C34" s="50"/>
      <c r="D34" s="50"/>
      <c r="E34" s="51"/>
      <c r="F34" s="51"/>
      <c r="G34" s="46"/>
      <c r="H34" s="46"/>
      <c r="I34" s="46"/>
      <c r="J34" s="46"/>
    </row>
    <row r="35" spans="2:10" x14ac:dyDescent="0.3">
      <c r="B35"/>
      <c r="C35" s="50"/>
      <c r="D35" s="50"/>
      <c r="E35" s="51"/>
      <c r="F35" s="51"/>
      <c r="G35" s="46"/>
      <c r="H35" s="46"/>
      <c r="I35" s="46"/>
      <c r="J35" s="46"/>
    </row>
    <row r="36" spans="2:10" x14ac:dyDescent="0.3">
      <c r="B36"/>
      <c r="C36" s="50"/>
      <c r="D36" s="50"/>
      <c r="E36" s="51"/>
      <c r="F36" s="51"/>
      <c r="G36" s="46"/>
      <c r="H36" s="46"/>
      <c r="I36" s="46"/>
      <c r="J36" s="46"/>
    </row>
    <row r="37" spans="2:10" x14ac:dyDescent="0.3">
      <c r="B37"/>
      <c r="C37" s="50"/>
      <c r="D37" s="50"/>
      <c r="E37" s="51"/>
      <c r="F37" s="51"/>
      <c r="G37" s="46"/>
      <c r="H37" s="46"/>
      <c r="I37" s="46"/>
      <c r="J37" s="46"/>
    </row>
    <row r="38" spans="2:10" x14ac:dyDescent="0.3">
      <c r="B38"/>
      <c r="C38" s="50"/>
      <c r="D38" s="50"/>
      <c r="E38" s="51"/>
      <c r="F38" s="51"/>
      <c r="G38" s="46"/>
      <c r="H38" s="46"/>
      <c r="I38" s="46"/>
      <c r="J38" s="46"/>
    </row>
    <row r="39" spans="2:10" x14ac:dyDescent="0.3">
      <c r="B39"/>
      <c r="C39" s="49"/>
      <c r="D39" s="49"/>
      <c r="E39" s="51"/>
      <c r="F39" s="51"/>
      <c r="G39" s="46"/>
      <c r="H39" s="46"/>
      <c r="I39" s="46"/>
      <c r="J39" s="46"/>
    </row>
    <row r="40" spans="2:10" x14ac:dyDescent="0.3">
      <c r="B40"/>
      <c r="C40" s="49"/>
      <c r="D40" s="49"/>
      <c r="E40" s="52"/>
      <c r="F40" s="52"/>
      <c r="G40" s="46"/>
      <c r="H40" s="46"/>
      <c r="I40" s="46"/>
      <c r="J40" s="46"/>
    </row>
    <row r="41" spans="2:10" x14ac:dyDescent="0.3">
      <c r="B41"/>
      <c r="C41" s="49"/>
      <c r="D41" s="49"/>
      <c r="E41" s="52"/>
      <c r="F41" s="52"/>
      <c r="G41" s="46"/>
      <c r="H41" s="46"/>
      <c r="I41" s="46"/>
      <c r="J41" s="46"/>
    </row>
    <row r="42" spans="2:10" x14ac:dyDescent="0.3">
      <c r="B42"/>
      <c r="C42" s="49"/>
      <c r="D42" s="49"/>
      <c r="E42" s="51"/>
      <c r="F42" s="51"/>
      <c r="G42" s="46"/>
      <c r="H42" s="46"/>
      <c r="I42" s="46"/>
      <c r="J42" s="46"/>
    </row>
    <row r="43" spans="2:10" x14ac:dyDescent="0.3">
      <c r="B43"/>
      <c r="C43" s="49"/>
      <c r="D43" s="49"/>
      <c r="E43" s="52"/>
      <c r="F43" s="52"/>
      <c r="G43" s="46"/>
      <c r="H43" s="46"/>
      <c r="I43" s="46"/>
      <c r="J43" s="46"/>
    </row>
    <row r="44" spans="2:10" x14ac:dyDescent="0.3">
      <c r="B44"/>
      <c r="C44" s="49"/>
      <c r="D44" s="49"/>
      <c r="E44" s="53"/>
      <c r="F44" s="53"/>
      <c r="G44" s="46"/>
      <c r="H44" s="46"/>
      <c r="I44" s="46"/>
      <c r="J44" s="46"/>
    </row>
    <row r="45" spans="2:10" x14ac:dyDescent="0.3">
      <c r="B45"/>
      <c r="C45" s="49"/>
      <c r="D45" s="49"/>
      <c r="E45" s="46"/>
      <c r="F45" s="46"/>
      <c r="G45" s="46"/>
      <c r="H45" s="46"/>
      <c r="I45" s="46"/>
      <c r="J45" s="46"/>
    </row>
    <row r="46" spans="2:10" x14ac:dyDescent="0.3">
      <c r="B46"/>
      <c r="C46" s="46"/>
      <c r="D46" s="46"/>
      <c r="E46" s="46"/>
      <c r="F46" s="46"/>
      <c r="G46" s="46"/>
      <c r="H46" s="46"/>
      <c r="I46" s="46"/>
      <c r="J46" s="46"/>
    </row>
    <row r="47" spans="2:10" x14ac:dyDescent="0.3">
      <c r="B47"/>
      <c r="C47" s="46"/>
      <c r="D47" s="46"/>
      <c r="E47" s="46"/>
      <c r="F47" s="46"/>
      <c r="G47" s="46"/>
      <c r="H47" s="46"/>
      <c r="I47" s="46"/>
      <c r="J47" s="46"/>
    </row>
    <row r="48" spans="2:10" x14ac:dyDescent="0.3">
      <c r="B48"/>
      <c r="C48" s="46"/>
      <c r="D48" s="46"/>
      <c r="E48" s="46"/>
      <c r="F48" s="46"/>
      <c r="G48" s="46"/>
      <c r="H48" s="46"/>
      <c r="I48" s="46"/>
      <c r="J48" s="46"/>
    </row>
    <row r="49" spans="2:10" x14ac:dyDescent="0.3">
      <c r="B49"/>
      <c r="C49" s="46"/>
      <c r="D49" s="46"/>
      <c r="E49" s="46"/>
      <c r="F49" s="46"/>
      <c r="G49" s="46"/>
      <c r="H49" s="46"/>
      <c r="I49" s="46"/>
      <c r="J49" s="46"/>
    </row>
    <row r="50" spans="2:10" x14ac:dyDescent="0.3">
      <c r="B50"/>
      <c r="C50" s="46"/>
      <c r="D50" s="46"/>
      <c r="E50" s="46"/>
      <c r="F50" s="46"/>
      <c r="G50" s="46"/>
      <c r="H50" s="46"/>
      <c r="I50" s="46"/>
      <c r="J50" s="46"/>
    </row>
    <row r="51" spans="2:10" x14ac:dyDescent="0.3">
      <c r="B51"/>
      <c r="C51" s="46"/>
      <c r="D51" s="46"/>
      <c r="E51" s="46"/>
      <c r="F51" s="46"/>
      <c r="G51" s="46"/>
      <c r="H51" s="46"/>
      <c r="I51" s="46"/>
      <c r="J51" s="46"/>
    </row>
    <row r="52" spans="2:10" x14ac:dyDescent="0.3">
      <c r="B52"/>
      <c r="C52" s="46"/>
      <c r="D52" s="46"/>
      <c r="E52" s="46"/>
      <c r="F52" s="46"/>
      <c r="G52" s="46"/>
      <c r="H52" s="46"/>
      <c r="I52" s="46"/>
      <c r="J52" s="46"/>
    </row>
    <row r="53" spans="2:10" x14ac:dyDescent="0.3">
      <c r="B53"/>
      <c r="C53" s="46"/>
      <c r="D53" s="46"/>
      <c r="E53" s="46"/>
      <c r="F53" s="46"/>
      <c r="G53" s="46"/>
      <c r="H53" s="46"/>
      <c r="I53" s="46"/>
      <c r="J53" s="46"/>
    </row>
    <row r="54" spans="2:10" x14ac:dyDescent="0.3">
      <c r="B54"/>
      <c r="C54" s="46"/>
      <c r="D54" s="46"/>
      <c r="E54" s="46"/>
      <c r="F54" s="46"/>
      <c r="G54" s="46"/>
      <c r="H54" s="46"/>
      <c r="I54" s="46"/>
      <c r="J54" s="46"/>
    </row>
    <row r="55" spans="2:10" x14ac:dyDescent="0.3">
      <c r="B55"/>
      <c r="C55" s="46"/>
      <c r="D55" s="46"/>
      <c r="E55" s="46"/>
      <c r="F55" s="46"/>
      <c r="G55" s="46"/>
      <c r="H55" s="46"/>
      <c r="I55" s="46"/>
      <c r="J55" s="46"/>
    </row>
    <row r="56" spans="2:10" x14ac:dyDescent="0.3">
      <c r="B56"/>
      <c r="C56" s="46"/>
      <c r="D56" s="46"/>
      <c r="E56" s="46"/>
      <c r="F56" s="46"/>
      <c r="G56" s="46"/>
      <c r="H56" s="46"/>
      <c r="I56" s="46"/>
      <c r="J56" s="46"/>
    </row>
    <row r="57" spans="2:10" x14ac:dyDescent="0.3">
      <c r="B57"/>
      <c r="G57" s="46"/>
      <c r="H57" s="46"/>
      <c r="I57" s="46"/>
      <c r="J57" s="46"/>
    </row>
    <row r="58" spans="2:10" x14ac:dyDescent="0.3">
      <c r="B58"/>
      <c r="G58" s="46"/>
      <c r="H58" s="46"/>
      <c r="I58" s="46"/>
      <c r="J58" s="46"/>
    </row>
    <row r="59" spans="2:10" x14ac:dyDescent="0.3">
      <c r="B59"/>
      <c r="G59" s="46"/>
      <c r="H59" s="46"/>
      <c r="I59" s="46"/>
      <c r="J59" s="46"/>
    </row>
    <row r="60" spans="2:10" x14ac:dyDescent="0.3">
      <c r="B60"/>
      <c r="G60" s="46"/>
      <c r="H60" s="46"/>
      <c r="I60" s="46"/>
      <c r="J60" s="46"/>
    </row>
    <row r="61" spans="2:10" x14ac:dyDescent="0.3">
      <c r="B61"/>
      <c r="I61" s="46"/>
      <c r="J61" s="46"/>
    </row>
    <row r="62" spans="2:10" x14ac:dyDescent="0.3">
      <c r="B62"/>
      <c r="I62" s="46"/>
      <c r="J62" s="46"/>
    </row>
    <row r="63" spans="2:10" x14ac:dyDescent="0.3">
      <c r="B63"/>
    </row>
    <row r="64" spans="2:10" ht="13.8" x14ac:dyDescent="0.3"/>
    <row r="65" ht="13.8" x14ac:dyDescent="0.3"/>
    <row r="66" ht="13.8" x14ac:dyDescent="0.3"/>
    <row r="67" ht="13.8" x14ac:dyDescent="0.3"/>
    <row r="68" ht="13.8" x14ac:dyDescent="0.3"/>
    <row r="69" ht="13.8" x14ac:dyDescent="0.3"/>
    <row r="70" ht="13.8" x14ac:dyDescent="0.3"/>
    <row r="71" ht="13.8" x14ac:dyDescent="0.3"/>
    <row r="72" ht="13.8" x14ac:dyDescent="0.3"/>
    <row r="73" ht="13.8" x14ac:dyDescent="0.3"/>
    <row r="74" ht="13.8" x14ac:dyDescent="0.3"/>
    <row r="75" ht="13.8" x14ac:dyDescent="0.3"/>
    <row r="76" ht="13.8" x14ac:dyDescent="0.3"/>
    <row r="77" ht="13.8" x14ac:dyDescent="0.3"/>
    <row r="78" ht="13.8" x14ac:dyDescent="0.3"/>
    <row r="79" ht="13.8" x14ac:dyDescent="0.3"/>
    <row r="80" ht="13.8" x14ac:dyDescent="0.3"/>
  </sheetData>
  <mergeCells count="2">
    <mergeCell ref="B12:C12"/>
    <mergeCell ref="B13:L1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Shopify</vt:lpstr>
      <vt:lpstr>Mercadolibre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Felipe Robinson Campos</dc:creator>
  <cp:lastModifiedBy>Felipe Robinson Campos</cp:lastModifiedBy>
  <dcterms:created xsi:type="dcterms:W3CDTF">2026-08-08T22:30:33Z</dcterms:created>
  <dcterms:modified xsi:type="dcterms:W3CDTF">2026-08-10T21:41:44Z</dcterms:modified>
</cp:coreProperties>
</file>