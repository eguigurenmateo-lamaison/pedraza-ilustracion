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scala de valor" sheetId="2" state="visible" r:id="rId2"/>
    <sheet name="Simulador de descuento" sheetId="3" state="visible" r:id="rId3"/>
    <sheet name="Forecast por producto" sheetId="4" state="visible" r:id="rId4"/>
    <sheet name="Pedido" sheetId="5" state="visible" r:id="rId5"/>
    <sheet name="Rotación" sheetId="6" state="visible" r:id="rId6"/>
  </sheets>
  <definedNames>
    <definedName name="ProductosList">'Escala de valor'!$A$7:$A$17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US$&quot;#,##0.00"/>
    <numFmt numFmtId="167" formatCode="0.0&quot;x&quot;"/>
    <numFmt numFmtId="168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C5850"/>
      <sz val="10"/>
    </font>
    <font>
      <name val="Arial"/>
      <i val="1"/>
      <color rgb="007C887F"/>
      <sz val="8.5"/>
    </font>
    <font>
      <name val="Arial"/>
      <b val="1"/>
      <color rgb="00FFFFFF"/>
      <sz val="10"/>
    </font>
    <font>
      <name val="Arial"/>
      <b val="1"/>
      <color rgb="001C2420"/>
      <sz val="10"/>
    </font>
    <font>
      <name val="Arial"/>
      <color rgb="001C2420"/>
      <sz val="10"/>
    </font>
    <font>
      <name val="Arial"/>
      <b val="1"/>
      <color rgb="00B0223F"/>
      <sz val="10"/>
    </font>
    <font>
      <name val="Arial"/>
      <color rgb="001959C4"/>
      <sz val="10"/>
    </font>
    <font>
      <name val="Arial"/>
      <i val="1"/>
      <color rgb="00A8720A"/>
      <sz val="10"/>
    </font>
    <font>
      <name val="Arial"/>
      <color rgb="004C5850"/>
      <sz val="10"/>
    </font>
  </fonts>
  <fills count="8">
    <fill>
      <patternFill/>
    </fill>
    <fill>
      <patternFill patternType="gray125"/>
    </fill>
    <fill>
      <patternFill patternType="solid">
        <fgColor rgb="002A403C"/>
      </patternFill>
    </fill>
    <fill>
      <patternFill patternType="solid">
        <fgColor rgb="003B5751"/>
      </patternFill>
    </fill>
    <fill>
      <patternFill patternType="solid">
        <fgColor rgb="00F4F2ED"/>
      </patternFill>
    </fill>
    <fill>
      <patternFill patternType="solid">
        <fgColor rgb="00FFF9C4"/>
      </patternFill>
    </fill>
    <fill>
      <patternFill patternType="solid">
        <fgColor rgb="00F7DDD0"/>
      </patternFill>
    </fill>
    <fill>
      <patternFill patternType="solid">
        <fgColor rgb="00DCECE1"/>
      </patternFill>
    </fill>
  </fills>
  <borders count="2">
    <border>
      <left/>
      <right/>
      <top/>
      <bottom/>
      <diagonal/>
    </border>
    <border>
      <left style="thin">
        <color rgb="00D8D8D0"/>
      </left>
      <right style="thin">
        <color rgb="00D8D8D0"/>
      </right>
      <top style="thin">
        <color rgb="00D8D8D0"/>
      </top>
      <bottom style="thin">
        <color rgb="00D8D8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top" wrapText="1" inden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1" pivotButton="0" quotePrefix="0" xfId="0"/>
    <xf numFmtId="0" fontId="6" fillId="0" borderId="0" applyAlignment="1" pivotButton="0" quotePrefix="0" xfId="0">
      <alignment vertical="center" wrapText="1"/>
    </xf>
    <xf numFmtId="0" fontId="0" fillId="6" borderId="1" pivotButton="0" quotePrefix="0" xfId="0"/>
    <xf numFmtId="0" fontId="0" fillId="7" borderId="1" pivotButton="0" quotePrefix="0" xfId="0"/>
    <xf numFmtId="0" fontId="7" fillId="4" borderId="0" applyAlignment="1" pivotButton="0" quotePrefix="0" xfId="0">
      <alignment vertical="center" wrapText="1" indent="1"/>
    </xf>
    <xf numFmtId="164" fontId="6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8" fillId="5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9" fillId="4" borderId="0" applyAlignment="1" pivotButton="0" quotePrefix="0" xfId="0">
      <alignment vertical="center" wrapText="1" indent="1"/>
    </xf>
    <xf numFmtId="0" fontId="8" fillId="5" borderId="1" applyAlignment="1" pivotButton="0" quotePrefix="0" xfId="0">
      <alignment vertical="center"/>
    </xf>
    <xf numFmtId="9" fontId="8" fillId="5" borderId="1" applyAlignment="1" pivotButton="0" quotePrefix="0" xfId="0">
      <alignment vertical="center"/>
    </xf>
    <xf numFmtId="3" fontId="8" fillId="5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0" fontId="10" fillId="0" borderId="0" pivotButton="0" quotePrefix="0" xfId="0"/>
    <xf numFmtId="3" fontId="6" fillId="0" borderId="1" applyAlignment="1" pivotButton="0" quotePrefix="0" xfId="0">
      <alignment vertical="center"/>
    </xf>
    <xf numFmtId="0" fontId="6" fillId="0" borderId="0" pivotButton="0" quotePrefix="0" xfId="0"/>
    <xf numFmtId="166" fontId="8" fillId="5" borderId="1" applyAlignment="1" pivotButton="0" quotePrefix="0" xfId="0">
      <alignment vertical="center"/>
    </xf>
    <xf numFmtId="166" fontId="6" fillId="0" borderId="1" applyAlignment="1" pivotButton="0" quotePrefix="0" xfId="0">
      <alignment vertical="center"/>
    </xf>
    <xf numFmtId="9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168" fontId="6" fillId="0" borderId="1" applyAlignment="1" pivotButton="0" quotePrefix="0" xfId="0">
      <alignment vertical="center"/>
    </xf>
    <xf numFmtId="168" fontId="5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ont>
        <b val="1"/>
        <color rgb="00B0223F"/>
      </font>
      <fill>
        <patternFill patternType="solid">
          <fgColor rgb="00F7DDD0"/>
        </patternFill>
      </fill>
    </dxf>
    <dxf>
      <fill>
        <patternFill patternType="solid">
          <fgColor rgb="00DCEC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Plan Pedraza Ilustración</author>
  </authors>
  <commentList>
    <comment ref="A9" authorId="0" shapeId="0">
      <text>
        <t>Único producto sin alza (0%) — 1.000 juegos llegan el 15-ago</t>
      </text>
    </comment>
    <comment ref="E9" authorId="0" shapeId="0">
      <text>
        <t>Único producto sin alza (0%) — 1.000 juegos llegan el 15-ago</t>
      </text>
    </comment>
    <comment ref="A10" authorId="0" shapeId="0">
      <text>
        <t>Precio nuevo y comparación: decidido en la llamada del 5-ago-2026</t>
      </text>
    </comment>
    <comment ref="E10" authorId="0" shapeId="0">
      <text>
        <t>Precio nuevo y comparación: decidido en la llamada del 5-ago-2026</t>
      </text>
    </comment>
    <comment ref="A11" authorId="0" shapeId="0">
      <text>
        <t>Precio nuevo y comparación: decidido en la llamada del 5-ago-2026</t>
      </text>
    </comment>
    <comment ref="E11" authorId="0" shapeId="0">
      <text>
        <t>Precio nuevo y comparación: decidido en la llamada del 5-ago-2026</t>
      </text>
    </comment>
    <comment ref="A14" authorId="0" shapeId="0">
      <text>
        <t>Mayor alza de toda la lista (+45,5%): estaba muy bajo el mercado</t>
      </text>
    </comment>
    <comment ref="E14" authorId="0" shapeId="0">
      <text>
        <t>Mayor alza de toda la lista (+45,5%): estaba muy bajo el mercado</t>
      </text>
    </comment>
    <comment ref="E16" authorId="0" shapeId="0">
      <text>
        <t>Costo puesto en bodega en Santiago, confirmado por Felipe (FOB + provisión + seguro + forwarder + desconsolidación + flete, promedio ponderado 47% aves / 37% cetáceos / 16% hongos)</t>
      </text>
    </comment>
  </commentList>
</comments>
</file>

<file path=xl/comments/comment2.xml><?xml version="1.0" encoding="utf-8"?>
<comments xmlns="http://schemas.openxmlformats.org/spreadsheetml/2006/main">
  <authors>
    <author>Plan Pedraza Ilustración</author>
  </authors>
  <commentList>
    <comment ref="A8" authorId="0" shapeId="0">
      <text>
        <t>Confirmado por Felipe: incluye FOB, provisión, seguro de carga, forwarder, desconsolidación y flete. Es el promedio ponderado del mix 47/37/16 — si el reparto cambia mucho, este número puede variar.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62" customWidth="1" min="2" max="2"/>
    <col width="40" customWidth="1" min="3" max="3"/>
  </cols>
  <sheetData>
    <row r="1" ht="28" customHeight="1">
      <c r="A1" s="1" t="inlineStr">
        <is>
          <t>Calculadora Pedraza Ilustración</t>
        </is>
      </c>
    </row>
    <row r="2" ht="28" customHeight="1">
      <c r="A2" s="2" t="inlineStr">
        <is>
          <t>Archivo consolidado: márgenes, descuentos, forecast, pedido a China y rotación de inventario. Agosto 2026.</t>
        </is>
      </c>
    </row>
    <row r="4" ht="42" customHeight="1">
      <c r="A4" s="3" t="inlineStr">
        <is>
          <t>Este archivo junta en un solo lugar lo que hoy vive repartido: el catálogo con sus márgenes, una calculadora de descuento que avisa cuando el margen cae bajo el piso del 60%, el forecast de demanda de puzzles agosto-diciembre, la calculadora del pedido a China, y la rotación de inventario. Las celdas amarillas son las únicas pensadas para editar — el resto son fórmulas que se recalculan solas.</t>
        </is>
      </c>
    </row>
    <row r="6">
      <c r="A6" s="4" t="inlineStr">
        <is>
          <t>Pestaña</t>
        </is>
      </c>
      <c r="B6" s="4" t="inlineStr">
        <is>
          <t>Qué contiene</t>
        </is>
      </c>
      <c r="C6" s="4" t="inlineStr">
        <is>
          <t>Qué se puede editar</t>
        </is>
      </c>
    </row>
    <row r="7" ht="58" customHeight="1">
      <c r="A7" s="5" t="inlineStr">
        <is>
          <t>Escala de valor</t>
        </is>
      </c>
      <c r="B7" s="6" t="inlineStr">
        <is>
          <t>El catálogo completo (11 productos) con precio actual, precio nuevo, precio de comparación (cuando aplica) y margen en pesos y en porcentaje. Se pone en rojo cuando el margen cae bajo el 60%.</t>
        </is>
      </c>
      <c r="C7" s="7" t="inlineStr">
        <is>
          <t>La columna Costo unitario — cargar ahí los costos reales de tinta, papel, packaging y flete de cada producto.</t>
        </is>
      </c>
    </row>
    <row r="8" ht="58" customHeight="1">
      <c r="A8" s="5" t="inlineStr">
        <is>
          <t>Simulador de descuento</t>
        </is>
      </c>
      <c r="B8" s="6" t="inlineStr">
        <is>
          <t>Elige un producto y un porcentaje de descuento, y calcula el precio final, el margen resultante y avisa si cae bajo el 60%.</t>
        </is>
      </c>
      <c r="C8" s="7" t="inlineStr">
        <is>
          <t>El producto (lista desplegable) y el porcentaje de descuento de cada fila.</t>
        </is>
      </c>
    </row>
    <row r="9" ht="58" customHeight="1">
      <c r="A9" s="5" t="inlineStr">
        <is>
          <t>Forecast por producto</t>
        </is>
      </c>
      <c r="B9" s="6" t="inlineStr">
        <is>
          <t>La demanda de puzzles agosto-diciembre 2026, cruzando los tres canales (Shopify, Mercado Libre, B2B) en los cuatro escenarios, y el reparto de esa demanda por modelo (aves/cetáceos/hongos).</t>
        </is>
      </c>
      <c r="C9" s="7" t="inlineStr">
        <is>
          <t>Los tres canales de cada escenario, y el % de reparto por modelo si cambia el mix histórico.</t>
        </is>
      </c>
    </row>
    <row r="10" ht="58" customHeight="1">
      <c r="A10" s="5" t="inlineStr">
        <is>
          <t>Pedido</t>
        </is>
      </c>
      <c r="B10" s="6" t="inlineStr">
        <is>
          <t>La calculadora del pedido a China: cuántas unidades pedir, cómo se reparten por modelo, cuánto cuesta en FOB y puesto en Chile, y cuánto es el anticipo del 30%.</t>
        </is>
      </c>
      <c r="C10" s="7" t="inlineStr">
        <is>
          <t>La cantidad total a pedir, el % de reparto por modelo, el tipo de cambio, el % de anticipo, el costo FOB unitario y el costo puesto en Chile.</t>
        </is>
      </c>
    </row>
    <row r="11" ht="58" customHeight="1">
      <c r="A11" s="5" t="inlineStr">
        <is>
          <t>Rotación</t>
        </is>
      </c>
      <c r="B11" s="6" t="inlineStr">
        <is>
          <t>Unidades vendidas al mes por categoría, stock actual y meses de cobertura, con alerta cuando quedan menos de 2 meses de stock.</t>
        </is>
      </c>
      <c r="C11" s="7" t="inlineStr">
        <is>
          <t>El stock actual de cada categoría — cargarlo desde Shopify/Bsale para que la cobertura se calcule sola.</t>
        </is>
      </c>
    </row>
    <row r="13">
      <c r="A13" s="8" t="inlineStr">
        <is>
          <t>Cómo leer los colores</t>
        </is>
      </c>
    </row>
    <row r="14" ht="30" customHeight="1">
      <c r="A14" s="9" t="inlineStr"/>
      <c r="B14" s="10" t="inlineStr">
        <is>
          <t>Celda de entrada — se edita libremente. El resto del archivo se recalcula solo.</t>
        </is>
      </c>
    </row>
    <row r="15" ht="30" customHeight="1">
      <c r="A15" s="11" t="inlineStr"/>
      <c r="B15" s="10" t="inlineStr">
        <is>
          <t>Alerta — el margen cayó bajo el piso del 60%, o la cobertura de stock bajó de 2 meses.</t>
        </is>
      </c>
    </row>
    <row r="16" ht="30" customHeight="1">
      <c r="A16" s="12" t="inlineStr"/>
      <c r="B16" s="10" t="inlineStr">
        <is>
          <t>Dentro del rango sano — margen sobre 60%, o cobertura sobre 2 meses.</t>
        </is>
      </c>
    </row>
    <row r="18" ht="42" customHeight="1">
      <c r="A18" s="3" t="inlineStr">
        <is>
          <t>Fuente de los datos: docs/correcciones-felipe-2026-08-01.md (catálogo, precios y composición del pedido que llega el 15 de agosto), docs/forecast-pedido-2026-08-02.md (demanda y fechas límite), docs/datos-financieros-2025-2026.md (categorías de venta y deuda vigente), y lo decidido en la llamada del 5 de agosto de 2026 (rango del pedido 2.000-2.500, mini-puzzles, precios FOB, piso de margen 60%, precios nuevos de láminas). Preparado para Felipe — reunión del viernes 7 de agosto de 2026.</t>
        </is>
      </c>
    </row>
  </sheetData>
  <mergeCells count="7">
    <mergeCell ref="B16:C16"/>
    <mergeCell ref="B15:C15"/>
    <mergeCell ref="A1:C1"/>
    <mergeCell ref="A18:C18"/>
    <mergeCell ref="B14:C14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5" customWidth="1" min="2" max="2"/>
    <col width="15" customWidth="1" min="3" max="3"/>
    <col width="17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 ht="28" customHeight="1">
      <c r="A1" s="1" t="inlineStr">
        <is>
          <t>Escala de valor — catálogo y márgenes</t>
        </is>
      </c>
    </row>
    <row r="2" ht="28" customHeight="1">
      <c r="A2" s="2" t="inlineStr">
        <is>
          <t>Precio actual, precio nuevo y margen de los 11 productos del catálogo. La columna Costo unitario es la que hay que completar.</t>
        </is>
      </c>
    </row>
    <row r="4" ht="20" customHeight="1">
      <c r="A4" s="13" t="inlineStr">
        <is>
          <t>🟢 Piso de margen fijado por Felipe: nunca bajar del 60%. La columna Margen % se pone en rojo automáticamente cuando cae bajo ese piso.</t>
        </is>
      </c>
    </row>
    <row r="6" ht="34" customHeight="1">
      <c r="A6" s="4" t="inlineStr">
        <is>
          <t>Producto</t>
        </is>
      </c>
      <c r="B6" s="4" t="inlineStr">
        <is>
          <t>Precio actual
(Shopify hoy)</t>
        </is>
      </c>
      <c r="C6" s="4" t="inlineStr">
        <is>
          <t>Precio nuevo</t>
        </is>
      </c>
      <c r="D6" s="4" t="inlineStr">
        <is>
          <t>Precio comparación
(tachado, si aplica)</t>
        </is>
      </c>
      <c r="E6" s="4" t="inlineStr">
        <is>
          <t>Costo unitario
(completar)</t>
        </is>
      </c>
      <c r="F6" s="4" t="inlineStr">
        <is>
          <t>Margen $</t>
        </is>
      </c>
      <c r="G6" s="4" t="inlineStr">
        <is>
          <t>Margen %</t>
        </is>
      </c>
      <c r="H6" s="4" t="inlineStr">
        <is>
          <t>Alerta</t>
        </is>
      </c>
    </row>
    <row r="7">
      <c r="A7" s="5" t="inlineStr">
        <is>
          <t>Botellas</t>
        </is>
      </c>
      <c r="B7" s="14" t="n">
        <v>28990</v>
      </c>
      <c r="C7" s="15" t="n">
        <v>32990</v>
      </c>
      <c r="D7" s="14" t="n"/>
      <c r="E7" s="16" t="n"/>
      <c r="F7" s="14">
        <f>IF(E7="","",C7-E7)</f>
        <v/>
      </c>
      <c r="G7" s="17">
        <f>IF(E7="","",F7/C7)</f>
        <v/>
      </c>
      <c r="H7" s="5">
        <f>IF(E7="","Falta costo",IF(G7&lt;0.6,"⚠ BAJO 60%","✅ OK"))</f>
        <v/>
      </c>
    </row>
    <row r="8">
      <c r="A8" s="5" t="inlineStr">
        <is>
          <t>Calcetines</t>
        </is>
      </c>
      <c r="B8" s="14" t="n">
        <v>9390</v>
      </c>
      <c r="C8" s="15" t="n">
        <v>9990</v>
      </c>
      <c r="D8" s="14" t="n"/>
      <c r="E8" s="16" t="n"/>
      <c r="F8" s="14">
        <f>IF(E8="","",C8-E8)</f>
        <v/>
      </c>
      <c r="G8" s="17">
        <f>IF(E8="","",F8/C8)</f>
        <v/>
      </c>
      <c r="H8" s="5">
        <f>IF(E8="","Falta costo",IF(G8&lt;0.6,"⚠ BAJO 60%","✅ OK"))</f>
        <v/>
      </c>
    </row>
    <row r="9">
      <c r="A9" s="5" t="inlineStr">
        <is>
          <t>Naipes</t>
        </is>
      </c>
      <c r="B9" s="14" t="n">
        <v>22990</v>
      </c>
      <c r="C9" s="15" t="n">
        <v>22990</v>
      </c>
      <c r="D9" s="14" t="n"/>
      <c r="E9" s="16" t="n"/>
      <c r="F9" s="14">
        <f>IF(E9="","",C9-E9)</f>
        <v/>
      </c>
      <c r="G9" s="17">
        <f>IF(E9="","",F9/C9)</f>
        <v/>
      </c>
      <c r="H9" s="5">
        <f>IF(E9="","Falta costo",IF(G9&lt;0.6,"⚠ BAJO 60%","✅ OK"))</f>
        <v/>
      </c>
    </row>
    <row r="10">
      <c r="A10" s="5" t="inlineStr">
        <is>
          <t>Láminas 42×60 (grande)</t>
        </is>
      </c>
      <c r="B10" s="14" t="n">
        <v>48390</v>
      </c>
      <c r="C10" s="15" t="n">
        <v>42990</v>
      </c>
      <c r="D10" s="14" t="n">
        <v>52990</v>
      </c>
      <c r="E10" s="16" t="n"/>
      <c r="F10" s="14">
        <f>IF(E10="","",C10-E10)</f>
        <v/>
      </c>
      <c r="G10" s="17">
        <f>IF(E10="","",F10/C10)</f>
        <v/>
      </c>
      <c r="H10" s="5">
        <f>IF(E10="","Falta costo",IF(G10&lt;0.6,"⚠ BAJO 60%","✅ OK"))</f>
        <v/>
      </c>
    </row>
    <row r="11">
      <c r="A11" s="5" t="inlineStr">
        <is>
          <t>Láminas 33×50 (mediana)</t>
        </is>
      </c>
      <c r="B11" s="14" t="n">
        <v>36980</v>
      </c>
      <c r="C11" s="15" t="n">
        <v>32990</v>
      </c>
      <c r="D11" s="14" t="n">
        <v>49990</v>
      </c>
      <c r="E11" s="16" t="n"/>
      <c r="F11" s="14">
        <f>IF(E11="","",C11-E11)</f>
        <v/>
      </c>
      <c r="G11" s="17">
        <f>IF(E11="","",F11/C11)</f>
        <v/>
      </c>
      <c r="H11" s="5">
        <f>IF(E11="","Falta costo",IF(G11&lt;0.6,"⚠ BAJO 60%","✅ OK"))</f>
        <v/>
      </c>
    </row>
    <row r="12">
      <c r="A12" s="5" t="inlineStr">
        <is>
          <t>Libretas</t>
        </is>
      </c>
      <c r="B12" s="14" t="n">
        <v>17490</v>
      </c>
      <c r="C12" s="15" t="n">
        <v>18990</v>
      </c>
      <c r="D12" s="14" t="n"/>
      <c r="E12" s="16" t="n"/>
      <c r="F12" s="14">
        <f>IF(E12="","",C12-E12)</f>
        <v/>
      </c>
      <c r="G12" s="17">
        <f>IF(E12="","",F12/C12)</f>
        <v/>
      </c>
      <c r="H12" s="5">
        <f>IF(E12="","Falta costo",IF(G12&lt;0.6,"⚠ BAJO 60%","✅ OK"))</f>
        <v/>
      </c>
    </row>
    <row r="13">
      <c r="A13" s="5" t="inlineStr">
        <is>
          <t>Llavero</t>
        </is>
      </c>
      <c r="B13" s="14" t="n">
        <v>8790</v>
      </c>
      <c r="C13" s="15" t="n">
        <v>9990</v>
      </c>
      <c r="D13" s="14" t="n"/>
      <c r="E13" s="16" t="n"/>
      <c r="F13" s="14">
        <f>IF(E13="","",C13-E13)</f>
        <v/>
      </c>
      <c r="G13" s="17">
        <f>IF(E13="","",F13/C13)</f>
        <v/>
      </c>
      <c r="H13" s="5">
        <f>IF(E13="","Falta costo",IF(G13&lt;0.6,"⚠ BAJO 60%","✅ OK"))</f>
        <v/>
      </c>
    </row>
    <row r="14">
      <c r="A14" s="5" t="inlineStr">
        <is>
          <t>Pins</t>
        </is>
      </c>
      <c r="B14" s="14" t="n">
        <v>5490</v>
      </c>
      <c r="C14" s="15" t="n">
        <v>7990</v>
      </c>
      <c r="D14" s="14" t="n"/>
      <c r="E14" s="16" t="n"/>
      <c r="F14" s="14">
        <f>IF(E14="","",C14-E14)</f>
        <v/>
      </c>
      <c r="G14" s="17">
        <f>IF(E14="","",F14/C14)</f>
        <v/>
      </c>
      <c r="H14" s="5">
        <f>IF(E14="","Falta costo",IF(G14&lt;0.6,"⚠ BAJO 60%","✅ OK"))</f>
        <v/>
      </c>
    </row>
    <row r="15">
      <c r="A15" s="5" t="inlineStr">
        <is>
          <t>Postales</t>
        </is>
      </c>
      <c r="B15" s="14" t="n">
        <v>10990</v>
      </c>
      <c r="C15" s="15" t="n">
        <v>11990</v>
      </c>
      <c r="D15" s="14" t="n"/>
      <c r="E15" s="16" t="n"/>
      <c r="F15" s="14">
        <f>IF(E15="","",C15-E15)</f>
        <v/>
      </c>
      <c r="G15" s="17">
        <f>IF(E15="","",F15/C15)</f>
        <v/>
      </c>
      <c r="H15" s="5">
        <f>IF(E15="","Falta costo",IF(G15&lt;0.6,"⚠ BAJO 60%","✅ OK"))</f>
        <v/>
      </c>
    </row>
    <row r="16">
      <c r="A16" s="5" t="inlineStr">
        <is>
          <t>Puzzle (promedio 3 modelos)</t>
        </is>
      </c>
      <c r="B16" s="14" t="n">
        <v>27290</v>
      </c>
      <c r="C16" s="15" t="n">
        <v>29990</v>
      </c>
      <c r="D16" s="14" t="n"/>
      <c r="E16" s="16" t="n">
        <v>7253</v>
      </c>
      <c r="F16" s="14">
        <f>IF(E16="","",C16-E16)</f>
        <v/>
      </c>
      <c r="G16" s="17">
        <f>IF(E16="","",F16/C16)</f>
        <v/>
      </c>
      <c r="H16" s="5">
        <f>IF(E16="","Falta costo",IF(G16&lt;0.6,"⚠ BAJO 60%","✅ OK"))</f>
        <v/>
      </c>
    </row>
    <row r="17">
      <c r="A17" s="5" t="inlineStr">
        <is>
          <t>Totebag</t>
        </is>
      </c>
      <c r="B17" s="14" t="n">
        <v>16490</v>
      </c>
      <c r="C17" s="15" t="n">
        <v>17990</v>
      </c>
      <c r="D17" s="14" t="n"/>
      <c r="E17" s="16" t="n"/>
      <c r="F17" s="14">
        <f>IF(E17="","",C17-E17)</f>
        <v/>
      </c>
      <c r="G17" s="17">
        <f>IF(E17="","",F17/C17)</f>
        <v/>
      </c>
      <c r="H17" s="5">
        <f>IF(E17="","Falta costo",IF(G17&lt;0.6,"⚠ BAJO 60%","✅ OK"))</f>
        <v/>
      </c>
    </row>
    <row r="19" ht="42" customHeight="1">
      <c r="A19" s="3" t="inlineStr">
        <is>
          <t>Fuente: docs/correcciones-felipe-2026-08-01.md, sección 6 (lista final de precios, definida por Felipe por benchmark de competencia, no por tramo). Precio comparación de láminas y el costo del puzzle: decididos en la llamada del 5 de agosto de 2026. El resto de los costos unitarios está pendiente de carga — sin costo, el margen queda en blanco a propósito (no se asume 100% de margen).</t>
        </is>
      </c>
    </row>
  </sheetData>
  <mergeCells count="4">
    <mergeCell ref="A4:H4"/>
    <mergeCell ref="A19:H19"/>
    <mergeCell ref="A2:H2"/>
    <mergeCell ref="A1:H1"/>
  </mergeCells>
  <conditionalFormatting sqref="G7:G17">
    <cfRule type="expression" priority="1" dxfId="0">
      <formula>AND(G7&lt;&gt;"",G7&lt;0.6)</formula>
    </cfRule>
    <cfRule type="expression" priority="2" dxfId="1">
      <formula>AND(G7&lt;&gt;"",G7&gt;=0.6)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2" customWidth="1" min="7" max="7"/>
    <col width="22" customWidth="1" min="8" max="8"/>
  </cols>
  <sheetData>
    <row r="1" ht="28" customHeight="1">
      <c r="A1" s="1" t="inlineStr">
        <is>
          <t>Simulador de descuento</t>
        </is>
      </c>
    </row>
    <row r="2" ht="28" customHeight="1">
      <c r="A2" s="2" t="inlineStr">
        <is>
          <t>Elige un producto y un % de descuento: calcula el precio final y avisa si el margen cae bajo el 60%. Los precios y costos se traen solos desde Escala de valor.</t>
        </is>
      </c>
    </row>
    <row r="4" ht="20" customHeight="1">
      <c r="A4" s="18" t="inlineStr">
        <is>
          <t>🟡 Las filas sin costo cargado en Escala de valor muestran "Falta costo" — no se puede simular un margen que no se conoce.</t>
        </is>
      </c>
    </row>
    <row r="6" ht="34" customHeight="1">
      <c r="A6" s="4" t="inlineStr">
        <is>
          <t>Producto</t>
        </is>
      </c>
      <c r="B6" s="4" t="inlineStr">
        <is>
          <t>Precio nuevo
(automático)</t>
        </is>
      </c>
      <c r="C6" s="4" t="inlineStr">
        <is>
          <t>Costo unitario
(automático)</t>
        </is>
      </c>
      <c r="D6" s="4" t="inlineStr">
        <is>
          <t>% Descuento
(editable)</t>
        </is>
      </c>
      <c r="E6" s="4" t="inlineStr">
        <is>
          <t>Precio final</t>
        </is>
      </c>
      <c r="F6" s="4" t="inlineStr">
        <is>
          <t>Margen $</t>
        </is>
      </c>
      <c r="G6" s="4" t="inlineStr">
        <is>
          <t>Margen %</t>
        </is>
      </c>
      <c r="H6" s="4" t="inlineStr">
        <is>
          <t>Alerta</t>
        </is>
      </c>
    </row>
    <row r="7">
      <c r="A7" s="19" t="inlineStr">
        <is>
          <t>Botellas</t>
        </is>
      </c>
      <c r="B7" s="14">
        <f>IFERROR(INDEX('Escala de valor'!$C$7:$C$17,MATCH(A7,'Escala de valor'!$A$7:$A$17,0)),"")</f>
        <v/>
      </c>
      <c r="C7" s="14">
        <f>IFERROR(INDEX('Escala de valor'!$E$7:$E$17,MATCH(A7,'Escala de valor'!$A$7:$A$17,0)),"")</f>
        <v/>
      </c>
      <c r="D7" s="20" t="n">
        <v>0.1</v>
      </c>
      <c r="E7" s="15">
        <f>IF(B7="","",B7*(1-D7))</f>
        <v/>
      </c>
      <c r="F7" s="14">
        <f>IF(OR(B7="",C7="",C7=0),"",E7-C7)</f>
        <v/>
      </c>
      <c r="G7" s="17">
        <f>IF(F7="","",IF(E7=0,"",F7/E7))</f>
        <v/>
      </c>
      <c r="H7" s="5">
        <f>IF(F7="","Falta costo",IF(G7&lt;0.6,"⚠ CAE BAJO 60%","✅ OK, sobre el piso"))</f>
        <v/>
      </c>
    </row>
    <row r="8">
      <c r="A8" s="19" t="inlineStr">
        <is>
          <t>Calcetines</t>
        </is>
      </c>
      <c r="B8" s="14">
        <f>IFERROR(INDEX('Escala de valor'!$C$7:$C$17,MATCH(A8,'Escala de valor'!$A$7:$A$17,0)),"")</f>
        <v/>
      </c>
      <c r="C8" s="14">
        <f>IFERROR(INDEX('Escala de valor'!$E$7:$E$17,MATCH(A8,'Escala de valor'!$A$7:$A$17,0)),"")</f>
        <v/>
      </c>
      <c r="D8" s="20" t="n">
        <v>0.1</v>
      </c>
      <c r="E8" s="15">
        <f>IF(B8="","",B8*(1-D8))</f>
        <v/>
      </c>
      <c r="F8" s="14">
        <f>IF(OR(B8="",C8="",C8=0),"",E8-C8)</f>
        <v/>
      </c>
      <c r="G8" s="17">
        <f>IF(F8="","",IF(E8=0,"",F8/E8))</f>
        <v/>
      </c>
      <c r="H8" s="5">
        <f>IF(F8="","Falta costo",IF(G8&lt;0.6,"⚠ CAE BAJO 60%","✅ OK, sobre el piso"))</f>
        <v/>
      </c>
    </row>
    <row r="9">
      <c r="A9" s="19" t="inlineStr">
        <is>
          <t>Naipes</t>
        </is>
      </c>
      <c r="B9" s="14">
        <f>IFERROR(INDEX('Escala de valor'!$C$7:$C$17,MATCH(A9,'Escala de valor'!$A$7:$A$17,0)),"")</f>
        <v/>
      </c>
      <c r="C9" s="14">
        <f>IFERROR(INDEX('Escala de valor'!$E$7:$E$17,MATCH(A9,'Escala de valor'!$A$7:$A$17,0)),"")</f>
        <v/>
      </c>
      <c r="D9" s="20" t="n">
        <v>0.1</v>
      </c>
      <c r="E9" s="15">
        <f>IF(B9="","",B9*(1-D9))</f>
        <v/>
      </c>
      <c r="F9" s="14">
        <f>IF(OR(B9="",C9="",C9=0),"",E9-C9)</f>
        <v/>
      </c>
      <c r="G9" s="17">
        <f>IF(F9="","",IF(E9=0,"",F9/E9))</f>
        <v/>
      </c>
      <c r="H9" s="5">
        <f>IF(F9="","Falta costo",IF(G9&lt;0.6,"⚠ CAE BAJO 60%","✅ OK, sobre el piso"))</f>
        <v/>
      </c>
    </row>
    <row r="10">
      <c r="A10" s="19" t="inlineStr">
        <is>
          <t>Láminas 42×60 (grande)</t>
        </is>
      </c>
      <c r="B10" s="14">
        <f>IFERROR(INDEX('Escala de valor'!$C$7:$C$17,MATCH(A10,'Escala de valor'!$A$7:$A$17,0)),"")</f>
        <v/>
      </c>
      <c r="C10" s="14">
        <f>IFERROR(INDEX('Escala de valor'!$E$7:$E$17,MATCH(A10,'Escala de valor'!$A$7:$A$17,0)),"")</f>
        <v/>
      </c>
      <c r="D10" s="20" t="n">
        <v>0.1</v>
      </c>
      <c r="E10" s="15">
        <f>IF(B10="","",B10*(1-D10))</f>
        <v/>
      </c>
      <c r="F10" s="14">
        <f>IF(OR(B10="",C10="",C10=0),"",E10-C10)</f>
        <v/>
      </c>
      <c r="G10" s="17">
        <f>IF(F10="","",IF(E10=0,"",F10/E10))</f>
        <v/>
      </c>
      <c r="H10" s="5">
        <f>IF(F10="","Falta costo",IF(G10&lt;0.6,"⚠ CAE BAJO 60%","✅ OK, sobre el piso"))</f>
        <v/>
      </c>
    </row>
    <row r="11">
      <c r="A11" s="19" t="inlineStr">
        <is>
          <t>Láminas 33×50 (mediana)</t>
        </is>
      </c>
      <c r="B11" s="14">
        <f>IFERROR(INDEX('Escala de valor'!$C$7:$C$17,MATCH(A11,'Escala de valor'!$A$7:$A$17,0)),"")</f>
        <v/>
      </c>
      <c r="C11" s="14">
        <f>IFERROR(INDEX('Escala de valor'!$E$7:$E$17,MATCH(A11,'Escala de valor'!$A$7:$A$17,0)),"")</f>
        <v/>
      </c>
      <c r="D11" s="20" t="n">
        <v>0.1</v>
      </c>
      <c r="E11" s="15">
        <f>IF(B11="","",B11*(1-D11))</f>
        <v/>
      </c>
      <c r="F11" s="14">
        <f>IF(OR(B11="",C11="",C11=0),"",E11-C11)</f>
        <v/>
      </c>
      <c r="G11" s="17">
        <f>IF(F11="","",IF(E11=0,"",F11/E11))</f>
        <v/>
      </c>
      <c r="H11" s="5">
        <f>IF(F11="","Falta costo",IF(G11&lt;0.6,"⚠ CAE BAJO 60%","✅ OK, sobre el piso"))</f>
        <v/>
      </c>
    </row>
    <row r="12">
      <c r="A12" s="19" t="inlineStr">
        <is>
          <t>Libretas</t>
        </is>
      </c>
      <c r="B12" s="14">
        <f>IFERROR(INDEX('Escala de valor'!$C$7:$C$17,MATCH(A12,'Escala de valor'!$A$7:$A$17,0)),"")</f>
        <v/>
      </c>
      <c r="C12" s="14">
        <f>IFERROR(INDEX('Escala de valor'!$E$7:$E$17,MATCH(A12,'Escala de valor'!$A$7:$A$17,0)),"")</f>
        <v/>
      </c>
      <c r="D12" s="20" t="n">
        <v>0.1</v>
      </c>
      <c r="E12" s="15">
        <f>IF(B12="","",B12*(1-D12))</f>
        <v/>
      </c>
      <c r="F12" s="14">
        <f>IF(OR(B12="",C12="",C12=0),"",E12-C12)</f>
        <v/>
      </c>
      <c r="G12" s="17">
        <f>IF(F12="","",IF(E12=0,"",F12/E12))</f>
        <v/>
      </c>
      <c r="H12" s="5">
        <f>IF(F12="","Falta costo",IF(G12&lt;0.6,"⚠ CAE BAJO 60%","✅ OK, sobre el piso"))</f>
        <v/>
      </c>
    </row>
    <row r="13">
      <c r="A13" s="19" t="inlineStr">
        <is>
          <t>Llavero</t>
        </is>
      </c>
      <c r="B13" s="14">
        <f>IFERROR(INDEX('Escala de valor'!$C$7:$C$17,MATCH(A13,'Escala de valor'!$A$7:$A$17,0)),"")</f>
        <v/>
      </c>
      <c r="C13" s="14">
        <f>IFERROR(INDEX('Escala de valor'!$E$7:$E$17,MATCH(A13,'Escala de valor'!$A$7:$A$17,0)),"")</f>
        <v/>
      </c>
      <c r="D13" s="20" t="n">
        <v>0.1</v>
      </c>
      <c r="E13" s="15">
        <f>IF(B13="","",B13*(1-D13))</f>
        <v/>
      </c>
      <c r="F13" s="14">
        <f>IF(OR(B13="",C13="",C13=0),"",E13-C13)</f>
        <v/>
      </c>
      <c r="G13" s="17">
        <f>IF(F13="","",IF(E13=0,"",F13/E13))</f>
        <v/>
      </c>
      <c r="H13" s="5">
        <f>IF(F13="","Falta costo",IF(G13&lt;0.6,"⚠ CAE BAJO 60%","✅ OK, sobre el piso"))</f>
        <v/>
      </c>
    </row>
    <row r="14">
      <c r="A14" s="19" t="inlineStr">
        <is>
          <t>Pins</t>
        </is>
      </c>
      <c r="B14" s="14">
        <f>IFERROR(INDEX('Escala de valor'!$C$7:$C$17,MATCH(A14,'Escala de valor'!$A$7:$A$17,0)),"")</f>
        <v/>
      </c>
      <c r="C14" s="14">
        <f>IFERROR(INDEX('Escala de valor'!$E$7:$E$17,MATCH(A14,'Escala de valor'!$A$7:$A$17,0)),"")</f>
        <v/>
      </c>
      <c r="D14" s="20" t="n">
        <v>0.1</v>
      </c>
      <c r="E14" s="15">
        <f>IF(B14="","",B14*(1-D14))</f>
        <v/>
      </c>
      <c r="F14" s="14">
        <f>IF(OR(B14="",C14="",C14=0),"",E14-C14)</f>
        <v/>
      </c>
      <c r="G14" s="17">
        <f>IF(F14="","",IF(E14=0,"",F14/E14))</f>
        <v/>
      </c>
      <c r="H14" s="5">
        <f>IF(F14="","Falta costo",IF(G14&lt;0.6,"⚠ CAE BAJO 60%","✅ OK, sobre el piso"))</f>
        <v/>
      </c>
    </row>
    <row r="15">
      <c r="A15" s="19" t="inlineStr">
        <is>
          <t>Postales</t>
        </is>
      </c>
      <c r="B15" s="14">
        <f>IFERROR(INDEX('Escala de valor'!$C$7:$C$17,MATCH(A15,'Escala de valor'!$A$7:$A$17,0)),"")</f>
        <v/>
      </c>
      <c r="C15" s="14">
        <f>IFERROR(INDEX('Escala de valor'!$E$7:$E$17,MATCH(A15,'Escala de valor'!$A$7:$A$17,0)),"")</f>
        <v/>
      </c>
      <c r="D15" s="20" t="n">
        <v>0.1</v>
      </c>
      <c r="E15" s="15">
        <f>IF(B15="","",B15*(1-D15))</f>
        <v/>
      </c>
      <c r="F15" s="14">
        <f>IF(OR(B15="",C15="",C15=0),"",E15-C15)</f>
        <v/>
      </c>
      <c r="G15" s="17">
        <f>IF(F15="","",IF(E15=0,"",F15/E15))</f>
        <v/>
      </c>
      <c r="H15" s="5">
        <f>IF(F15="","Falta costo",IF(G15&lt;0.6,"⚠ CAE BAJO 60%","✅ OK, sobre el piso"))</f>
        <v/>
      </c>
    </row>
    <row r="16">
      <c r="A16" s="19" t="inlineStr">
        <is>
          <t>Puzzle (promedio 3 modelos)</t>
        </is>
      </c>
      <c r="B16" s="14">
        <f>IFERROR(INDEX('Escala de valor'!$C$7:$C$17,MATCH(A16,'Escala de valor'!$A$7:$A$17,0)),"")</f>
        <v/>
      </c>
      <c r="C16" s="14">
        <f>IFERROR(INDEX('Escala de valor'!$E$7:$E$17,MATCH(A16,'Escala de valor'!$A$7:$A$17,0)),"")</f>
        <v/>
      </c>
      <c r="D16" s="20" t="n">
        <v>0.1</v>
      </c>
      <c r="E16" s="15">
        <f>IF(B16="","",B16*(1-D16))</f>
        <v/>
      </c>
      <c r="F16" s="14">
        <f>IF(OR(B16="",C16="",C16=0),"",E16-C16)</f>
        <v/>
      </c>
      <c r="G16" s="17">
        <f>IF(F16="","",IF(E16=0,"",F16/E16))</f>
        <v/>
      </c>
      <c r="H16" s="5">
        <f>IF(F16="","Falta costo",IF(G16&lt;0.6,"⚠ CAE BAJO 60%","✅ OK, sobre el piso"))</f>
        <v/>
      </c>
    </row>
    <row r="17">
      <c r="A17" s="19" t="inlineStr">
        <is>
          <t>Totebag</t>
        </is>
      </c>
      <c r="B17" s="14">
        <f>IFERROR(INDEX('Escala de valor'!$C$7:$C$17,MATCH(A17,'Escala de valor'!$A$7:$A$17,0)),"")</f>
        <v/>
      </c>
      <c r="C17" s="14">
        <f>IFERROR(INDEX('Escala de valor'!$E$7:$E$17,MATCH(A17,'Escala de valor'!$A$7:$A$17,0)),"")</f>
        <v/>
      </c>
      <c r="D17" s="20" t="n">
        <v>0.1</v>
      </c>
      <c r="E17" s="15">
        <f>IF(B17="","",B17*(1-D17))</f>
        <v/>
      </c>
      <c r="F17" s="14">
        <f>IF(OR(B17="",C17="",C17=0),"",E17-C17)</f>
        <v/>
      </c>
      <c r="G17" s="17">
        <f>IF(F17="","",IF(E17=0,"",F17/E17))</f>
        <v/>
      </c>
      <c r="H17" s="5">
        <f>IF(F17="","Falta costo",IF(G17&lt;0.6,"⚠ CAE BAJO 60%","✅ OK, sobre el piso"))</f>
        <v/>
      </c>
    </row>
    <row r="19" ht="42" customHeight="1">
      <c r="A19" s="3" t="inlineStr">
        <is>
          <t>Los precios y costos de esta pestaña se traen automáticamente desde Escala de valor (fórmulas INDEX/MATCH) — no se cargan a mano acá. Cambia el producto de cualquier fila (lista desplegable) o el % de descuento, y el resto se recalcula solo. El piso de margen es el mismo 60% de toda la calculadora.</t>
        </is>
      </c>
    </row>
  </sheetData>
  <mergeCells count="4">
    <mergeCell ref="A4:H4"/>
    <mergeCell ref="A19:H19"/>
    <mergeCell ref="A2:H2"/>
    <mergeCell ref="A1:H1"/>
  </mergeCells>
  <conditionalFormatting sqref="G7:G17">
    <cfRule type="expression" priority="1" dxfId="0">
      <formula>AND(G7&lt;&gt;"",G7&lt;0.6)</formula>
    </cfRule>
    <cfRule type="expression" priority="2" dxfId="1">
      <formula>AND(G7&lt;&gt;"",G7&gt;=0.6)</formula>
    </cfRule>
  </conditionalFormatting>
  <dataValidations count="1">
    <dataValidation sqref="A7:A17" showDropDown="0" showInputMessage="0" showErrorMessage="0" allowBlank="1" type="list">
      <formula1>ProductosList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Forecast por producto — demanda de puzzles ago-dic 2026</t>
        </is>
      </c>
    </row>
    <row r="2" ht="28" customHeight="1">
      <c r="A2" s="2" t="inlineStr">
        <is>
          <t>Los cuatro escenarios de demanda cruzando los tres canales (Shopify, Mercado Libre, B2B), y el reparto de esa demanda por modelo.</t>
        </is>
      </c>
    </row>
    <row r="4">
      <c r="A4" s="8" t="inlineStr">
        <is>
          <t>A. Demanda por canal, los cuatro escenarios</t>
        </is>
      </c>
    </row>
    <row r="5" ht="30" customHeight="1">
      <c r="A5" s="4" t="inlineStr">
        <is>
          <t>Escenario</t>
        </is>
      </c>
      <c r="B5" s="4" t="inlineStr">
        <is>
          <t>Shopify</t>
        </is>
      </c>
      <c r="C5" s="4" t="inlineStr">
        <is>
          <t>Mercado Libre</t>
        </is>
      </c>
      <c r="D5" s="4" t="inlineStr">
        <is>
          <t>B2B</t>
        </is>
      </c>
      <c r="E5" s="4" t="inlineStr">
        <is>
          <t>Total</t>
        </is>
      </c>
      <c r="F5" s="4" t="inlineStr">
        <is>
          <t>Llegan (15-ago)</t>
        </is>
      </c>
      <c r="G5" s="4" t="inlineStr">
        <is>
          <t>Faltan</t>
        </is>
      </c>
    </row>
    <row r="6">
      <c r="A6" s="5" t="inlineStr">
        <is>
          <t>Mínimo</t>
        </is>
      </c>
      <c r="B6" s="21" t="n">
        <v>907</v>
      </c>
      <c r="C6" s="21" t="n">
        <v>454</v>
      </c>
      <c r="D6" s="21" t="n">
        <v>317</v>
      </c>
      <c r="E6" s="22">
        <f>SUM(B6:D6)</f>
        <v/>
      </c>
      <c r="F6" s="21" t="n">
        <v>1290</v>
      </c>
      <c r="G6" s="22">
        <f>E6-F6</f>
        <v/>
      </c>
    </row>
    <row r="7">
      <c r="A7" s="5" t="inlineStr">
        <is>
          <t>Conservador</t>
        </is>
      </c>
      <c r="B7" s="21" t="n">
        <v>907</v>
      </c>
      <c r="C7" s="21" t="n">
        <v>454</v>
      </c>
      <c r="D7" s="21" t="n">
        <v>796</v>
      </c>
      <c r="E7" s="22">
        <f>SUM(B7:D7)</f>
        <v/>
      </c>
      <c r="F7" s="21" t="n">
        <v>1290</v>
      </c>
      <c r="G7" s="22">
        <f>E7-F7</f>
        <v/>
      </c>
    </row>
    <row r="8">
      <c r="A8" s="5" t="inlineStr">
        <is>
          <t>Base</t>
        </is>
      </c>
      <c r="B8" s="21" t="n">
        <v>1058</v>
      </c>
      <c r="C8" s="21" t="n">
        <v>665</v>
      </c>
      <c r="D8" s="21" t="n">
        <v>796</v>
      </c>
      <c r="E8" s="22">
        <f>SUM(B8:D8)</f>
        <v/>
      </c>
      <c r="F8" s="21" t="n">
        <v>1290</v>
      </c>
      <c r="G8" s="22">
        <f>E8-F8</f>
        <v/>
      </c>
    </row>
    <row r="9">
      <c r="A9" s="5" t="inlineStr">
        <is>
          <t>Agresivo</t>
        </is>
      </c>
      <c r="B9" s="21" t="n">
        <v>1058</v>
      </c>
      <c r="C9" s="21" t="n">
        <v>1005</v>
      </c>
      <c r="D9" s="21" t="n">
        <v>796</v>
      </c>
      <c r="E9" s="22">
        <f>SUM(B9:D9)</f>
        <v/>
      </c>
      <c r="F9" s="21" t="n">
        <v>1290</v>
      </c>
      <c r="G9" s="22">
        <f>E9-F9</f>
        <v/>
      </c>
    </row>
    <row r="11" ht="42" customHeight="1">
      <c r="A11" s="3" t="inlineStr">
        <is>
          <t>Shopify, Mercado Libre y B2B: dato aportado por el operador para este entregable, sobre la base del forecast de tienda propia de docs/forecast-pedido-2026-08-02.md. Llegan: los 1.290 puzzles (incluye 240 de niños) del pedido que llega el 15 de agosto — docs/correcciones-felipe-2026-08-01.md, sección 3.</t>
        </is>
      </c>
    </row>
    <row r="13">
      <c r="A13" s="8" t="inlineStr">
        <is>
          <t>B. Reparto de esa demanda por modelo (histórico de venta)</t>
        </is>
      </c>
    </row>
    <row r="14">
      <c r="A14" s="23" t="inlineStr">
        <is>
          <t>% Aves</t>
        </is>
      </c>
      <c r="B14" s="20" t="n">
        <v>0.47</v>
      </c>
      <c r="C14" s="23" t="inlineStr">
        <is>
          <t>% Cetáceos</t>
        </is>
      </c>
      <c r="D14" s="20" t="n">
        <v>0.37</v>
      </c>
      <c r="E14" s="23" t="inlineStr">
        <is>
          <t>% Hongos</t>
        </is>
      </c>
      <c r="F14" s="20" t="n">
        <v>0.16</v>
      </c>
      <c r="G14" s="8">
        <f>IF(B14+D14+F14&lt;&gt;1,"⚠ no suma 100%","✅ 100%")</f>
        <v/>
      </c>
    </row>
    <row r="16">
      <c r="A16" s="4" t="inlineStr">
        <is>
          <t>Escenario</t>
        </is>
      </c>
      <c r="B16" s="4" t="inlineStr">
        <is>
          <t>Total (de A)</t>
        </is>
      </c>
      <c r="C16" s="4" t="inlineStr">
        <is>
          <t>Aves</t>
        </is>
      </c>
      <c r="D16" s="4" t="inlineStr">
        <is>
          <t>Cetáceos</t>
        </is>
      </c>
      <c r="E16" s="4" t="inlineStr">
        <is>
          <t>Hongos</t>
        </is>
      </c>
    </row>
    <row r="17">
      <c r="A17" s="5" t="inlineStr">
        <is>
          <t>Mínimo</t>
        </is>
      </c>
      <c r="B17" s="24">
        <f>E6</f>
        <v/>
      </c>
      <c r="C17" s="24">
        <f>$B17*$B$14</f>
        <v/>
      </c>
      <c r="D17" s="24">
        <f>$B17*$D$14</f>
        <v/>
      </c>
      <c r="E17" s="24">
        <f>$B17*$F$14</f>
        <v/>
      </c>
    </row>
    <row r="18">
      <c r="A18" s="5" t="inlineStr">
        <is>
          <t>Conservador</t>
        </is>
      </c>
      <c r="B18" s="24">
        <f>E7</f>
        <v/>
      </c>
      <c r="C18" s="24">
        <f>$B18*$B$14</f>
        <v/>
      </c>
      <c r="D18" s="24">
        <f>$B18*$D$14</f>
        <v/>
      </c>
      <c r="E18" s="24">
        <f>$B18*$F$14</f>
        <v/>
      </c>
    </row>
    <row r="19">
      <c r="A19" s="5" t="inlineStr">
        <is>
          <t>Base</t>
        </is>
      </c>
      <c r="B19" s="24">
        <f>E8</f>
        <v/>
      </c>
      <c r="C19" s="24">
        <f>$B19*$B$14</f>
        <v/>
      </c>
      <c r="D19" s="24">
        <f>$B19*$D$14</f>
        <v/>
      </c>
      <c r="E19" s="24">
        <f>$B19*$F$14</f>
        <v/>
      </c>
    </row>
    <row r="20">
      <c r="A20" s="5" t="inlineStr">
        <is>
          <t>Agresivo</t>
        </is>
      </c>
      <c r="B20" s="24">
        <f>E9</f>
        <v/>
      </c>
      <c r="C20" s="24">
        <f>$B20*$B$14</f>
        <v/>
      </c>
      <c r="D20" s="24">
        <f>$B20*$D$14</f>
        <v/>
      </c>
      <c r="E20" s="24">
        <f>$B20*$F$14</f>
        <v/>
      </c>
    </row>
    <row r="22" ht="42" customHeight="1">
      <c r="A22" s="3" t="inlineStr">
        <is>
          <t>Reparto 47/37/16: histórico de venta de puzzles grandes, confirmado por Felipe en la llamada del 5 de agosto de 2026 — el mismo reparto que se usa en la pestaña Pedido y en pedido.html. Cambiar los % de arriba recalcula toda la tabla.</t>
        </is>
      </c>
    </row>
  </sheetData>
  <mergeCells count="4">
    <mergeCell ref="A11:G11"/>
    <mergeCell ref="A22:E22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 outlineLevelCol="0"/>
  <cols>
    <col width="40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8" customHeight="1">
      <c r="A1" s="1" t="inlineStr">
        <is>
          <t>Pedido — calculadora del pedido a China</t>
        </is>
      </c>
    </row>
    <row r="2" ht="28" customHeight="1">
      <c r="A2" s="2" t="inlineStr">
        <is>
          <t>Cambia la cantidad total o el reparto y se recalculan las unidades por modelo, el costo FOB, el costo puesto en Chile y el anticipo del 30%.</t>
        </is>
      </c>
    </row>
    <row r="4">
      <c r="A4" s="8" t="inlineStr">
        <is>
          <t>Datos generales del pedido</t>
        </is>
      </c>
    </row>
    <row r="5">
      <c r="A5" s="25" t="inlineStr">
        <is>
          <t>Cantidad total del pedido (unidades)</t>
        </is>
      </c>
      <c r="B5" s="21" t="n">
        <v>2000</v>
      </c>
    </row>
    <row r="6">
      <c r="A6" s="25" t="inlineStr">
        <is>
          <t>Tipo de cambio de referencia (CLP por USD)</t>
        </is>
      </c>
      <c r="B6" s="16" t="n">
        <v>950</v>
      </c>
    </row>
    <row r="7">
      <c r="A7" s="25" t="inlineStr">
        <is>
          <t>% Anticipo a la fábrica (sobre el FOB)</t>
        </is>
      </c>
      <c r="B7" s="20" t="n">
        <v>0.3</v>
      </c>
    </row>
    <row r="8">
      <c r="A8" s="25" t="inlineStr">
        <is>
          <t>Costo puesto en bodega en Chile, por unidad (CLP)</t>
        </is>
      </c>
      <c r="B8" s="16" t="n">
        <v>7253</v>
      </c>
    </row>
    <row r="10">
      <c r="A10" s="8" t="inlineStr">
        <is>
          <t>Reparto por modelo</t>
        </is>
      </c>
    </row>
    <row r="11">
      <c r="A11" s="4" t="inlineStr">
        <is>
          <t>Modelo</t>
        </is>
      </c>
      <c r="B11" s="4" t="inlineStr">
        <is>
          <t>% reparto</t>
        </is>
      </c>
      <c r="C11" s="4" t="inlineStr">
        <is>
          <t>Unidades</t>
        </is>
      </c>
      <c r="D11" s="4" t="inlineStr">
        <is>
          <t>FOB unitario (USD)</t>
        </is>
      </c>
      <c r="E11" s="4" t="inlineStr">
        <is>
          <t>FOB total (USD)</t>
        </is>
      </c>
    </row>
    <row r="12">
      <c r="A12" s="5" t="inlineStr">
        <is>
          <t>Aves</t>
        </is>
      </c>
      <c r="B12" s="20" t="n">
        <v>0.47</v>
      </c>
      <c r="C12" s="24">
        <f>$B$5*B12</f>
        <v/>
      </c>
      <c r="D12" s="26" t="n">
        <v>4.8</v>
      </c>
      <c r="E12" s="27">
        <f>C12*D12</f>
        <v/>
      </c>
    </row>
    <row r="13">
      <c r="A13" s="5" t="inlineStr">
        <is>
          <t>Cetáceos</t>
        </is>
      </c>
      <c r="B13" s="20" t="n">
        <v>0.37</v>
      </c>
      <c r="C13" s="24">
        <f>$B$5*B13</f>
        <v/>
      </c>
      <c r="D13" s="26" t="n">
        <v>5.8</v>
      </c>
      <c r="E13" s="27">
        <f>C13*D13</f>
        <v/>
      </c>
    </row>
    <row r="14">
      <c r="A14" s="5" t="inlineStr">
        <is>
          <t>Hongos</t>
        </is>
      </c>
      <c r="B14" s="20" t="n">
        <v>0.16</v>
      </c>
      <c r="C14" s="24">
        <f>$B$5*B14</f>
        <v/>
      </c>
      <c r="D14" s="26" t="n">
        <v>6.48</v>
      </c>
      <c r="E14" s="27">
        <f>C14*D14</f>
        <v/>
      </c>
    </row>
    <row r="15">
      <c r="A15" s="5" t="inlineStr">
        <is>
          <t>Total</t>
        </is>
      </c>
      <c r="B15" s="28">
        <f>SUM(B12:B14)</f>
        <v/>
      </c>
      <c r="C15" s="22">
        <f>SUM(C12:C14)</f>
        <v/>
      </c>
      <c r="E15" s="29">
        <f>SUM(E12:E14)</f>
        <v/>
      </c>
    </row>
    <row r="16">
      <c r="A16" s="8">
        <f>IF(B15&lt;&gt;1,"⚠ el reparto no suma 100%","✅ el reparto suma 100%")</f>
        <v/>
      </c>
    </row>
    <row r="18">
      <c r="A18" s="8" t="inlineStr">
        <is>
          <t>Resumen del pedido</t>
        </is>
      </c>
    </row>
    <row r="19">
      <c r="A19" s="4" t="inlineStr">
        <is>
          <t>Concepto</t>
        </is>
      </c>
      <c r="B19" s="4" t="inlineStr">
        <is>
          <t>Monto</t>
        </is>
      </c>
    </row>
    <row r="20">
      <c r="A20" s="30" t="inlineStr">
        <is>
          <t>FOB total (USD)</t>
        </is>
      </c>
      <c r="B20" s="29">
        <f>E15</f>
        <v/>
      </c>
    </row>
    <row r="21">
      <c r="A21" s="30" t="inlineStr">
        <is>
          <t>FOB total (CLP)</t>
        </is>
      </c>
      <c r="B21" s="15">
        <f>B20*B6</f>
        <v/>
      </c>
    </row>
    <row r="22">
      <c r="A22" s="30" t="inlineStr">
        <is>
          <t>Anticipo a la fábrica (USD)</t>
        </is>
      </c>
      <c r="B22" s="27">
        <f>B20*B7</f>
        <v/>
      </c>
    </row>
    <row r="23">
      <c r="A23" s="30" t="inlineStr">
        <is>
          <t>Anticipo a la fábrica (CLP) — se paga ahora</t>
        </is>
      </c>
      <c r="B23" s="15">
        <f>B22*B6</f>
        <v/>
      </c>
    </row>
    <row r="24">
      <c r="A24" s="30" t="inlineStr">
        <is>
          <t>Saldo 70% (CLP) — se paga contra entrega</t>
        </is>
      </c>
      <c r="B24" s="14">
        <f>B21-B23</f>
        <v/>
      </c>
    </row>
    <row r="25">
      <c r="A25" s="30" t="inlineStr">
        <is>
          <t>Costo puesto en bodega en Chile — total</t>
        </is>
      </c>
      <c r="B25" s="15">
        <f>B5*B8</f>
        <v/>
      </c>
    </row>
    <row r="26">
      <c r="A26" s="30" t="inlineStr">
        <is>
          <t>De eso, logística local (seguro, forwarder, desconsolidación, flete)</t>
        </is>
      </c>
      <c r="B26" s="14">
        <f>B25-B21</f>
        <v/>
      </c>
    </row>
    <row r="28">
      <c r="A28" s="25" t="inlineStr">
        <is>
          <t>Cuota mensual de los créditos vigentes (referencia de caja)</t>
        </is>
      </c>
      <c r="B28" s="16" t="n">
        <v>1167128</v>
      </c>
    </row>
    <row r="29">
      <c r="A29" s="30" t="inlineStr">
        <is>
          <t>El anticipo equivale a esta cantidad de cuotas mensuales</t>
        </is>
      </c>
      <c r="B29" s="31">
        <f>B23/B28</f>
        <v/>
      </c>
    </row>
    <row r="31" ht="42" customHeight="1">
      <c r="A31" s="3" t="inlineStr">
        <is>
          <t>Fórmulas verificadas contra la tabla de referencia de docs/forecast-pedido-2026-08-02.md (pedidos de 600/1.000/1.500 unidades, mismo reparto 47/37/16): coinciden al peso. El anticipo es el 30% del FOB (lo que se le paga a la fábrica), no del costo total puesto en Chile — la logística local se paga aparte. Cuota mensual de créditos: docs/datos-financieros-2025-2026.md, sección 6.</t>
        </is>
      </c>
    </row>
  </sheetData>
  <mergeCells count="3">
    <mergeCell ref="A2:E2"/>
    <mergeCell ref="A1:E1"/>
    <mergeCell ref="A31:E3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5" customWidth="1" min="4" max="4"/>
    <col width="16" customWidth="1" min="5" max="5"/>
    <col width="18" customWidth="1" min="6" max="6"/>
  </cols>
  <sheetData>
    <row r="1" ht="28" customHeight="1">
      <c r="A1" s="1" t="inlineStr">
        <is>
          <t>Rotación de inventario</t>
        </is>
      </c>
    </row>
    <row r="2" ht="28" customHeight="1">
      <c r="A2" s="2" t="inlineStr">
        <is>
          <t>Unidades vendidas al mes por categoría, stock actual y meses de cobertura. Alerta cuando quedan menos de 2 meses de stock.</t>
        </is>
      </c>
    </row>
    <row r="4" ht="20" customHeight="1">
      <c r="A4" s="18" t="inlineStr">
        <is>
          <t>🟡 Cargar el Stock actual desde Shopify/Bsale para que la cobertura se calcule — hoy solo Puzzle está confirmado (agotado, 0 unidades).</t>
        </is>
      </c>
    </row>
    <row r="6" ht="34" customHeight="1">
      <c r="A6" s="4" t="inlineStr">
        <is>
          <t>Categoría</t>
        </is>
      </c>
      <c r="B6" s="4" t="inlineStr">
        <is>
          <t>Unidades vendidas
(18 meses, jul-25 a jun-26)</t>
        </is>
      </c>
      <c r="C6" s="4" t="inlineStr">
        <is>
          <t>Velocidad mensual
(unid./mes)</t>
        </is>
      </c>
      <c r="D6" s="4" t="inlineStr">
        <is>
          <t>Stock actual
(completar)</t>
        </is>
      </c>
      <c r="E6" s="4" t="inlineStr">
        <is>
          <t>Meses de
cobertura</t>
        </is>
      </c>
      <c r="F6" s="4" t="inlineStr">
        <is>
          <t>Alerta</t>
        </is>
      </c>
    </row>
    <row r="7">
      <c r="A7" s="5" t="inlineStr">
        <is>
          <t>Puzzle</t>
        </is>
      </c>
      <c r="B7" s="21" t="n">
        <v>1837</v>
      </c>
      <c r="C7" s="32">
        <f>B7/18</f>
        <v/>
      </c>
      <c r="D7" s="21" t="n">
        <v>0</v>
      </c>
      <c r="E7" s="33">
        <f>IF(D7="","",IF(C7=0,"",D7/C7))</f>
        <v/>
      </c>
      <c r="F7" s="5">
        <f>IF(E7="","Falta stock",IF(E7&lt;2,"🔴 BAJO 2 MESES","🟢 OK"))</f>
        <v/>
      </c>
    </row>
    <row r="8">
      <c r="A8" s="5" t="inlineStr">
        <is>
          <t>Calcetines</t>
        </is>
      </c>
      <c r="B8" s="21" t="n">
        <v>682</v>
      </c>
      <c r="C8" s="32">
        <f>B8/18</f>
        <v/>
      </c>
      <c r="D8" s="21" t="n"/>
      <c r="E8" s="33">
        <f>IF(D8="","",IF(C8=0,"",D8/C8))</f>
        <v/>
      </c>
      <c r="F8" s="5">
        <f>IF(E8="","Falta stock",IF(E8&lt;2,"🔴 BAJO 2 MESES","🟢 OK"))</f>
        <v/>
      </c>
    </row>
    <row r="9">
      <c r="A9" s="5" t="inlineStr">
        <is>
          <t>Naipes</t>
        </is>
      </c>
      <c r="B9" s="21" t="n">
        <v>664</v>
      </c>
      <c r="C9" s="32">
        <f>B9/18</f>
        <v/>
      </c>
      <c r="D9" s="21" t="n"/>
      <c r="E9" s="33">
        <f>IF(D9="","",IF(C9=0,"",D9/C9))</f>
        <v/>
      </c>
      <c r="F9" s="5">
        <f>IF(E9="","Falta stock",IF(E9&lt;2,"🔴 BAJO 2 MESES","🟢 OK"))</f>
        <v/>
      </c>
    </row>
    <row r="10">
      <c r="A10" s="5" t="inlineStr">
        <is>
          <t>Otros</t>
        </is>
      </c>
      <c r="B10" s="21" t="n">
        <v>566</v>
      </c>
      <c r="C10" s="32">
        <f>B10/18</f>
        <v/>
      </c>
      <c r="D10" s="21" t="n"/>
      <c r="E10" s="33">
        <f>IF(D10="","",IF(C10=0,"",D10/C10))</f>
        <v/>
      </c>
      <c r="F10" s="5">
        <f>IF(E10="","Falta stock",IF(E10&lt;2,"🔴 BAJO 2 MESES","🟢 OK"))</f>
        <v/>
      </c>
    </row>
    <row r="11">
      <c r="A11" s="5" t="inlineStr">
        <is>
          <t>Botellas</t>
        </is>
      </c>
      <c r="B11" s="21" t="n">
        <v>320</v>
      </c>
      <c r="C11" s="32">
        <f>B11/18</f>
        <v/>
      </c>
      <c r="D11" s="21" t="n"/>
      <c r="E11" s="33">
        <f>IF(D11="","",IF(C11=0,"",D11/C11))</f>
        <v/>
      </c>
      <c r="F11" s="5">
        <f>IF(E11="","Falta stock",IF(E11&lt;2,"🔴 BAJO 2 MESES","🟢 OK"))</f>
        <v/>
      </c>
    </row>
    <row r="12">
      <c r="A12" s="5" t="inlineStr">
        <is>
          <t>Pins</t>
        </is>
      </c>
      <c r="B12" s="21" t="n">
        <v>298</v>
      </c>
      <c r="C12" s="32">
        <f>B12/18</f>
        <v/>
      </c>
      <c r="D12" s="21" t="n"/>
      <c r="E12" s="33">
        <f>IF(D12="","",IF(C12=0,"",D12/C12))</f>
        <v/>
      </c>
      <c r="F12" s="5">
        <f>IF(E12="","Falta stock",IF(E12&lt;2,"🔴 BAJO 2 MESES","🟢 OK"))</f>
        <v/>
      </c>
    </row>
    <row r="13">
      <c r="A13" s="5" t="inlineStr">
        <is>
          <t>Llaveros</t>
        </is>
      </c>
      <c r="B13" s="21" t="n">
        <v>268</v>
      </c>
      <c r="C13" s="32">
        <f>B13/18</f>
        <v/>
      </c>
      <c r="D13" s="21" t="n"/>
      <c r="E13" s="33">
        <f>IF(D13="","",IF(C13=0,"",D13/C13))</f>
        <v/>
      </c>
      <c r="F13" s="5">
        <f>IF(E13="","Falta stock",IF(E13&lt;2,"🔴 BAJO 2 MESES","🟢 OK"))</f>
        <v/>
      </c>
    </row>
    <row r="14">
      <c r="A14" s="5" t="inlineStr">
        <is>
          <t>Totebags</t>
        </is>
      </c>
      <c r="B14" s="21" t="n">
        <v>164</v>
      </c>
      <c r="C14" s="32">
        <f>B14/18</f>
        <v/>
      </c>
      <c r="D14" s="21" t="n"/>
      <c r="E14" s="33">
        <f>IF(D14="","",IF(C14=0,"",D14/C14))</f>
        <v/>
      </c>
      <c r="F14" s="5">
        <f>IF(E14="","Falta stock",IF(E14&lt;2,"🔴 BAJO 2 MESES","🟢 OK"))</f>
        <v/>
      </c>
    </row>
    <row r="15">
      <c r="A15" s="5" t="inlineStr">
        <is>
          <t>Libretas</t>
        </is>
      </c>
      <c r="B15" s="21" t="n">
        <v>154</v>
      </c>
      <c r="C15" s="32">
        <f>B15/18</f>
        <v/>
      </c>
      <c r="D15" s="21" t="n"/>
      <c r="E15" s="33">
        <f>IF(D15="","",IF(C15=0,"",D15/C15))</f>
        <v/>
      </c>
      <c r="F15" s="5">
        <f>IF(E15="","Falta stock",IF(E15&lt;2,"🔴 BAJO 2 MESES","🟢 OK"))</f>
        <v/>
      </c>
    </row>
    <row r="16">
      <c r="A16" s="5" t="inlineStr">
        <is>
          <t>Postales</t>
        </is>
      </c>
      <c r="B16" s="21" t="n">
        <v>144</v>
      </c>
      <c r="C16" s="32">
        <f>B16/18</f>
        <v/>
      </c>
      <c r="D16" s="21" t="n"/>
      <c r="E16" s="33">
        <f>IF(D16="","",IF(C16=0,"",D16/C16))</f>
        <v/>
      </c>
      <c r="F16" s="5">
        <f>IF(E16="","Falta stock",IF(E16&lt;2,"🔴 BAJO 2 MESES","🟢 OK"))</f>
        <v/>
      </c>
    </row>
    <row r="17">
      <c r="A17" s="5" t="inlineStr">
        <is>
          <t>Total</t>
        </is>
      </c>
      <c r="B17" s="22">
        <f>SUM(B7:B16)</f>
        <v/>
      </c>
    </row>
    <row r="19" ht="42" customHeight="1">
      <c r="A19" s="3" t="inlineStr">
        <is>
          <t>Unidades vendidas 18 meses (categorías): docs/correcciones-felipe-2026-08-01.md, sección 2 — suman 5.097, igual al total de unidades vendidas en Shopify en el período. Es un promedio de 18 meses, no el ritmo de un mes cualquiera: diciembre vende 3,3 veces un mes normal, así que la velocidad real de fin de año es más alta que este promedio. Puzzle: stock en 0 confirmado — es el quiebre que motivó el pedido a China (docs/datos-financieros-2025-2026.md, sección 8). El resto de los stocks queda por cargar.</t>
        </is>
      </c>
    </row>
  </sheetData>
  <mergeCells count="4">
    <mergeCell ref="A19:F19"/>
    <mergeCell ref="A2:F2"/>
    <mergeCell ref="A1:F1"/>
    <mergeCell ref="A4:F4"/>
  </mergeCells>
  <conditionalFormatting sqref="E7:E16">
    <cfRule type="expression" priority="1" dxfId="0">
      <formula>AND(E7&lt;&gt;"",E7&lt;2)</formula>
    </cfRule>
    <cfRule type="expression" priority="2" dxfId="1">
      <formula>AND(E7&lt;&gt;"",E7&gt;=2)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2026-08-05T14:59:26Z</dcterms:created>
  <dcterms:modified xsi:type="dcterms:W3CDTF">2026-08-05T14:59:26Z</dcterms:modified>
</cp:coreProperties>
</file>